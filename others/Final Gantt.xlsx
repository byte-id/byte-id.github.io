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idama\Downloads\"/>
    </mc:Choice>
  </mc:AlternateContent>
  <xr:revisionPtr revIDLastSave="0" documentId="8_{C24C3918-4F70-4C4A-AAC4-F10D2F74478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inal" sheetId="10" r:id="rId1"/>
    <sheet name="NSW_Holidays" sheetId="4" r:id="rId2"/>
  </sheets>
  <definedNames>
    <definedName name="Display" localSheetId="0">Final!$G$2</definedName>
    <definedName name="Display">#REF!</definedName>
    <definedName name="Display_p" localSheetId="0">Final!$G$1</definedName>
    <definedName name="Display_p">#REF!</definedName>
    <definedName name="EksterneData_1" localSheetId="1" hidden="1">NSW_Holidays!$A$1:$B$22</definedName>
    <definedName name="h" localSheetId="0">nsw_public_holidays_2026_2027[Date]</definedName>
    <definedName name="h">nsw_public_holidays_2026_2027[Date]</definedName>
    <definedName name="Holiday2">NSW_Holidays!$G$2:$G$22</definedName>
    <definedName name="Holidays" localSheetId="0">nsw_public_holidays_2026_2027[Date]</definedName>
    <definedName name="Holidays">nsw_public_holidays_2026_2027[Date]</definedName>
    <definedName name="_xlnm.Print_Area" localSheetId="0">Final!$M$7:$PN$200</definedName>
    <definedName name="_xlnm.Print_Titles" localSheetId="0">Final!$A:$A,Final!$2:$5</definedName>
    <definedName name="Project_Start" localSheetId="0">Final!$B$1</definedName>
    <definedName name="Project_Start">#REF!</definedName>
    <definedName name="show_weekend">NSW_Holidays!$E$8</definedName>
    <definedName name="show_weekends">NSW_Holidays!#REF!</definedName>
    <definedName name="task_colour" localSheetId="0">Final!$C1</definedName>
    <definedName name="W" localSheetId="0">Final!$O$4</definedName>
    <definedName name="W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9" i="10" l="1"/>
  <c r="H198" i="10"/>
  <c r="G200" i="10" s="1"/>
  <c r="H197" i="10"/>
  <c r="G199" i="10" s="1"/>
  <c r="H196" i="10"/>
  <c r="G198" i="10" s="1"/>
  <c r="G196" i="10"/>
  <c r="H195" i="10"/>
  <c r="G197" i="10" s="1"/>
  <c r="D195" i="10"/>
  <c r="H194" i="10"/>
  <c r="H193" i="10"/>
  <c r="H192" i="10"/>
  <c r="H191" i="10"/>
  <c r="G194" i="10" s="1"/>
  <c r="H190" i="10"/>
  <c r="G193" i="10" s="1"/>
  <c r="D190" i="10"/>
  <c r="H189" i="10"/>
  <c r="G191" i="10" s="1"/>
  <c r="H188" i="10"/>
  <c r="H187" i="10"/>
  <c r="G190" i="10" s="1"/>
  <c r="H186" i="10"/>
  <c r="G189" i="10" s="1"/>
  <c r="G186" i="10"/>
  <c r="H185" i="10"/>
  <c r="G188" i="10" s="1"/>
  <c r="D185" i="10"/>
  <c r="H184" i="10"/>
  <c r="H183" i="10"/>
  <c r="H182" i="10"/>
  <c r="G184" i="10" s="1"/>
  <c r="H181" i="10"/>
  <c r="G183" i="10" s="1"/>
  <c r="H180" i="10"/>
  <c r="G182" i="10" s="1"/>
  <c r="H179" i="10"/>
  <c r="G181" i="10" s="1"/>
  <c r="G179" i="10"/>
  <c r="H178" i="10"/>
  <c r="G180" i="10" s="1"/>
  <c r="D178" i="10"/>
  <c r="H177" i="10"/>
  <c r="H176" i="10"/>
  <c r="G178" i="10" s="1"/>
  <c r="D176" i="10"/>
  <c r="H175" i="10"/>
  <c r="G177" i="10" s="1"/>
  <c r="H174" i="10"/>
  <c r="G176" i="10" s="1"/>
  <c r="H173" i="10"/>
  <c r="G175" i="10" s="1"/>
  <c r="H172" i="10"/>
  <c r="G174" i="10" s="1"/>
  <c r="H171" i="10"/>
  <c r="G173" i="10" s="1"/>
  <c r="H170" i="10"/>
  <c r="G172" i="10" s="1"/>
  <c r="H169" i="10"/>
  <c r="G171" i="10" s="1"/>
  <c r="H168" i="10"/>
  <c r="G170" i="10" s="1"/>
  <c r="H167" i="10"/>
  <c r="G169" i="10" s="1"/>
  <c r="H166" i="10"/>
  <c r="G168" i="10" s="1"/>
  <c r="D166" i="10"/>
  <c r="H165" i="10"/>
  <c r="G167" i="10" s="1"/>
  <c r="H164" i="10"/>
  <c r="H163" i="10"/>
  <c r="G166" i="10" s="1"/>
  <c r="G163" i="10"/>
  <c r="H162" i="10"/>
  <c r="G165" i="10" s="1"/>
  <c r="H161" i="10"/>
  <c r="H160" i="10"/>
  <c r="G160" i="10"/>
  <c r="H159" i="10"/>
  <c r="G161" i="10" s="1"/>
  <c r="D159" i="10"/>
  <c r="H158" i="10"/>
  <c r="H157" i="10"/>
  <c r="H156" i="10"/>
  <c r="H155" i="10"/>
  <c r="G158" i="10" s="1"/>
  <c r="H154" i="10"/>
  <c r="G157" i="10" s="1"/>
  <c r="H153" i="10"/>
  <c r="G153" i="10"/>
  <c r="H152" i="10"/>
  <c r="G154" i="10" s="1"/>
  <c r="D152" i="10"/>
  <c r="H151" i="10"/>
  <c r="H150" i="10"/>
  <c r="H149" i="10"/>
  <c r="G151" i="10" s="1"/>
  <c r="H148" i="10"/>
  <c r="G150" i="10" s="1"/>
  <c r="H147" i="10"/>
  <c r="G149" i="10" s="1"/>
  <c r="H146" i="10"/>
  <c r="G148" i="10" s="1"/>
  <c r="D146" i="10"/>
  <c r="H145" i="10"/>
  <c r="G147" i="10" s="1"/>
  <c r="H144" i="10"/>
  <c r="G146" i="10" s="1"/>
  <c r="H143" i="10"/>
  <c r="G145" i="10" s="1"/>
  <c r="H142" i="10"/>
  <c r="G144" i="10" s="1"/>
  <c r="H141" i="10"/>
  <c r="G143" i="10" s="1"/>
  <c r="H140" i="10"/>
  <c r="G142" i="10" s="1"/>
  <c r="H139" i="10"/>
  <c r="G141" i="10" s="1"/>
  <c r="D139" i="10"/>
  <c r="H138" i="10"/>
  <c r="G140" i="10" s="1"/>
  <c r="H137" i="10"/>
  <c r="G139" i="10" s="1"/>
  <c r="H136" i="10"/>
  <c r="G138" i="10" s="1"/>
  <c r="H135" i="10"/>
  <c r="G137" i="10" s="1"/>
  <c r="H134" i="10"/>
  <c r="G136" i="10" s="1"/>
  <c r="H133" i="10"/>
  <c r="G135" i="10" s="1"/>
  <c r="H132" i="10"/>
  <c r="G134" i="10" s="1"/>
  <c r="H131" i="10"/>
  <c r="G133" i="10" s="1"/>
  <c r="H130" i="10"/>
  <c r="G132" i="10" s="1"/>
  <c r="D130" i="10"/>
  <c r="H129" i="10"/>
  <c r="G131" i="10" s="1"/>
  <c r="H128" i="10"/>
  <c r="H127" i="10"/>
  <c r="H126" i="10"/>
  <c r="G130" i="10" s="1"/>
  <c r="H125" i="10"/>
  <c r="G129" i="10" s="1"/>
  <c r="D125" i="10"/>
  <c r="H124" i="10"/>
  <c r="G126" i="10" s="1"/>
  <c r="H123" i="10"/>
  <c r="G125" i="10" s="1"/>
  <c r="H122" i="10"/>
  <c r="G124" i="10" s="1"/>
  <c r="H121" i="10"/>
  <c r="G123" i="10" s="1"/>
  <c r="H120" i="10"/>
  <c r="G122" i="10" s="1"/>
  <c r="H119" i="10"/>
  <c r="G121" i="10" s="1"/>
  <c r="D119" i="10"/>
  <c r="H118" i="10"/>
  <c r="G120" i="10" s="1"/>
  <c r="H117" i="10"/>
  <c r="G119" i="10" s="1"/>
  <c r="H116" i="10"/>
  <c r="G118" i="10" s="1"/>
  <c r="H115" i="10"/>
  <c r="G117" i="10" s="1"/>
  <c r="H114" i="10"/>
  <c r="G116" i="10" s="1"/>
  <c r="D114" i="10"/>
  <c r="H113" i="10"/>
  <c r="G115" i="10" s="1"/>
  <c r="H112" i="10"/>
  <c r="H111" i="10"/>
  <c r="G114" i="10" s="1"/>
  <c r="H110" i="10"/>
  <c r="G113" i="10" s="1"/>
  <c r="D110" i="10"/>
  <c r="H109" i="10"/>
  <c r="G112" i="10" s="1"/>
  <c r="H108" i="10"/>
  <c r="H107" i="10"/>
  <c r="G110" i="10" s="1"/>
  <c r="H106" i="10"/>
  <c r="G109" i="10" s="1"/>
  <c r="D106" i="10"/>
  <c r="H105" i="10"/>
  <c r="G107" i="10" s="1"/>
  <c r="H104" i="10"/>
  <c r="G104" i="10"/>
  <c r="H103" i="10"/>
  <c r="G103" i="10"/>
  <c r="H102" i="10"/>
  <c r="G105" i="10" s="1"/>
  <c r="G102" i="10"/>
  <c r="D102" i="10"/>
  <c r="H101" i="10"/>
  <c r="H100" i="10"/>
  <c r="G106" i="10" s="1"/>
  <c r="G100" i="10"/>
  <c r="H99" i="10"/>
  <c r="G101" i="10" s="1"/>
  <c r="G99" i="10"/>
  <c r="H98" i="10"/>
  <c r="H97" i="10"/>
  <c r="H96" i="10"/>
  <c r="H95" i="10"/>
  <c r="G95" i="10"/>
  <c r="H94" i="10"/>
  <c r="G97" i="10" s="1"/>
  <c r="G94" i="10"/>
  <c r="H93" i="10"/>
  <c r="G96" i="10" s="1"/>
  <c r="G93" i="10"/>
  <c r="D93" i="10"/>
  <c r="H92" i="10"/>
  <c r="H91" i="10"/>
  <c r="H90" i="10"/>
  <c r="G90" i="10"/>
  <c r="H89" i="10"/>
  <c r="G92" i="10" s="1"/>
  <c r="G89" i="10"/>
  <c r="H88" i="10"/>
  <c r="G91" i="10" s="1"/>
  <c r="H87" i="10"/>
  <c r="H86" i="10"/>
  <c r="H85" i="10"/>
  <c r="G85" i="10"/>
  <c r="H84" i="10"/>
  <c r="G87" i="10" s="1"/>
  <c r="G84" i="10"/>
  <c r="H83" i="10"/>
  <c r="G86" i="10" s="1"/>
  <c r="D83" i="10"/>
  <c r="H82" i="10"/>
  <c r="H81" i="10"/>
  <c r="H80" i="10"/>
  <c r="G82" i="10" s="1"/>
  <c r="H79" i="10"/>
  <c r="G81" i="10" s="1"/>
  <c r="H78" i="10"/>
  <c r="G80" i="10" s="1"/>
  <c r="G78" i="10"/>
  <c r="H77" i="10"/>
  <c r="G77" i="10"/>
  <c r="H76" i="10"/>
  <c r="G79" i="10" s="1"/>
  <c r="G76" i="10"/>
  <c r="D76" i="10"/>
  <c r="H75" i="10"/>
  <c r="G75" i="10"/>
  <c r="H74" i="10"/>
  <c r="G74" i="10"/>
  <c r="H73" i="10"/>
  <c r="D73" i="10"/>
  <c r="H72" i="10"/>
  <c r="H71" i="10"/>
  <c r="G71" i="10"/>
  <c r="H70" i="10"/>
  <c r="G70" i="10"/>
  <c r="H69" i="10"/>
  <c r="G72" i="10" s="1"/>
  <c r="D69" i="10"/>
  <c r="H68" i="10"/>
  <c r="H67" i="10"/>
  <c r="G67" i="10"/>
  <c r="H66" i="10"/>
  <c r="G66" i="10"/>
  <c r="H65" i="10"/>
  <c r="G68" i="10" s="1"/>
  <c r="D65" i="10"/>
  <c r="H62" i="10"/>
  <c r="H63" i="10" s="1"/>
  <c r="H64" i="10" s="1"/>
  <c r="H61" i="10"/>
  <c r="D61" i="10"/>
  <c r="D60" i="10" s="1"/>
  <c r="H60" i="10"/>
  <c r="H59" i="10"/>
  <c r="G61" i="10" s="1"/>
  <c r="H58" i="10"/>
  <c r="G60" i="10" s="1"/>
  <c r="H57" i="10"/>
  <c r="G59" i="10" s="1"/>
  <c r="H56" i="10"/>
  <c r="H55" i="10"/>
  <c r="G58" i="10" s="1"/>
  <c r="D55" i="10"/>
  <c r="H54" i="10"/>
  <c r="G56" i="10" s="1"/>
  <c r="H53" i="10"/>
  <c r="H52" i="10"/>
  <c r="G55" i="10" s="1"/>
  <c r="H51" i="10"/>
  <c r="G54" i="10" s="1"/>
  <c r="D51" i="10"/>
  <c r="H50" i="10"/>
  <c r="G52" i="10" s="1"/>
  <c r="G50" i="10"/>
  <c r="H49" i="10"/>
  <c r="H48" i="10"/>
  <c r="H47" i="10"/>
  <c r="H46" i="10"/>
  <c r="G51" i="10" s="1"/>
  <c r="G46" i="10"/>
  <c r="H45" i="10"/>
  <c r="H44" i="10"/>
  <c r="D44" i="10"/>
  <c r="H43" i="10"/>
  <c r="G47" i="10" s="1"/>
  <c r="H42" i="10"/>
  <c r="G44" i="10" s="1"/>
  <c r="H41" i="10"/>
  <c r="G43" i="10" s="1"/>
  <c r="H40" i="10"/>
  <c r="G42" i="10" s="1"/>
  <c r="H39" i="10"/>
  <c r="H38" i="10"/>
  <c r="G41" i="10" s="1"/>
  <c r="D38" i="10"/>
  <c r="H37" i="10"/>
  <c r="G39" i="10" s="1"/>
  <c r="H36" i="10"/>
  <c r="G38" i="10" s="1"/>
  <c r="H35" i="10"/>
  <c r="G37" i="10" s="1"/>
  <c r="H34" i="10"/>
  <c r="G36" i="10" s="1"/>
  <c r="H33" i="10"/>
  <c r="G35" i="10" s="1"/>
  <c r="H32" i="10"/>
  <c r="G34" i="10" s="1"/>
  <c r="H31" i="10"/>
  <c r="G33" i="10" s="1"/>
  <c r="H30" i="10"/>
  <c r="G32" i="10" s="1"/>
  <c r="H29" i="10"/>
  <c r="G31" i="10" s="1"/>
  <c r="D29" i="10"/>
  <c r="H28" i="10"/>
  <c r="H27" i="10"/>
  <c r="G30" i="10" s="1"/>
  <c r="H26" i="10"/>
  <c r="G29" i="10" s="1"/>
  <c r="D26" i="10"/>
  <c r="H25" i="10"/>
  <c r="G28" i="10" s="1"/>
  <c r="H24" i="10"/>
  <c r="G26" i="10" s="1"/>
  <c r="H23" i="10"/>
  <c r="G25" i="10" s="1"/>
  <c r="H22" i="10"/>
  <c r="G24" i="10" s="1"/>
  <c r="D22" i="10"/>
  <c r="H21" i="10"/>
  <c r="G23" i="10" s="1"/>
  <c r="H20" i="10"/>
  <c r="G22" i="10" s="1"/>
  <c r="H19" i="10"/>
  <c r="G21" i="10" s="1"/>
  <c r="H18" i="10"/>
  <c r="G20" i="10" s="1"/>
  <c r="H17" i="10"/>
  <c r="G19" i="10" s="1"/>
  <c r="H16" i="10"/>
  <c r="H15" i="10"/>
  <c r="G18" i="10" s="1"/>
  <c r="H14" i="10"/>
  <c r="G17" i="10" s="1"/>
  <c r="D14" i="10"/>
  <c r="H13" i="10"/>
  <c r="G15" i="10" s="1"/>
  <c r="H12" i="10"/>
  <c r="G14" i="10" s="1"/>
  <c r="H11" i="10"/>
  <c r="G13" i="10" s="1"/>
  <c r="H10" i="10"/>
  <c r="G12" i="10" s="1"/>
  <c r="H9" i="10"/>
  <c r="G11" i="10" s="1"/>
  <c r="G9" i="10"/>
  <c r="D9" i="10"/>
  <c r="H8" i="10"/>
  <c r="G10" i="10" s="1"/>
  <c r="K7" i="10"/>
  <c r="I7" i="10"/>
  <c r="R5" i="10"/>
  <c r="W5" i="10" s="1"/>
  <c r="AB5" i="10" s="1"/>
  <c r="AG5" i="10" s="1"/>
  <c r="AL5" i="10" s="1"/>
  <c r="AQ5" i="10" s="1"/>
  <c r="AU5" i="10" s="1"/>
  <c r="AY5" i="10" s="1"/>
  <c r="BD5" i="10" s="1"/>
  <c r="BI5" i="10" s="1"/>
  <c r="BN5" i="10" s="1"/>
  <c r="BS5" i="10" s="1"/>
  <c r="BX5" i="10" s="1"/>
  <c r="CC5" i="10" s="1"/>
  <c r="CH5" i="10" s="1"/>
  <c r="CM5" i="10" s="1"/>
  <c r="CQ5" i="10" s="1"/>
  <c r="CV5" i="10" s="1"/>
  <c r="DA5" i="10" s="1"/>
  <c r="DF5" i="10" s="1"/>
  <c r="DK5" i="10" s="1"/>
  <c r="DP5" i="10" s="1"/>
  <c r="DU5" i="10" s="1"/>
  <c r="DZ5" i="10" s="1"/>
  <c r="EE5" i="10" s="1"/>
  <c r="EJ5" i="10" s="1"/>
  <c r="EO5" i="10" s="1"/>
  <c r="ET5" i="10" s="1"/>
  <c r="EY5" i="10" s="1"/>
  <c r="FD5" i="10" s="1"/>
  <c r="FI5" i="10" s="1"/>
  <c r="FN5" i="10" s="1"/>
  <c r="FS5" i="10" s="1"/>
  <c r="FW5" i="10" s="1"/>
  <c r="GB5" i="10" s="1"/>
  <c r="GG5" i="10" s="1"/>
  <c r="GL5" i="10" s="1"/>
  <c r="GQ5" i="10" s="1"/>
  <c r="GV5" i="10" s="1"/>
  <c r="HA5" i="10" s="1"/>
  <c r="HF5" i="10" s="1"/>
  <c r="HK5" i="10" s="1"/>
  <c r="HP5" i="10" s="1"/>
  <c r="HU5" i="10" s="1"/>
  <c r="HY5" i="10" s="1"/>
  <c r="IB5" i="10" s="1"/>
  <c r="IG5" i="10" s="1"/>
  <c r="IL5" i="10" s="1"/>
  <c r="IQ5" i="10" s="1"/>
  <c r="IU5" i="10" s="1"/>
  <c r="IZ5" i="10" s="1"/>
  <c r="JE5" i="10" s="1"/>
  <c r="JJ5" i="10" s="1"/>
  <c r="JO5" i="10" s="1"/>
  <c r="JT5" i="10" s="1"/>
  <c r="JY5" i="10" s="1"/>
  <c r="KD5" i="10" s="1"/>
  <c r="KH5" i="10" s="1"/>
  <c r="KL5" i="10" s="1"/>
  <c r="KQ5" i="10" s="1"/>
  <c r="KV5" i="10" s="1"/>
  <c r="LA5" i="10" s="1"/>
  <c r="LF5" i="10" s="1"/>
  <c r="LK5" i="10" s="1"/>
  <c r="LP5" i="10" s="1"/>
  <c r="LU5" i="10" s="1"/>
  <c r="LZ5" i="10" s="1"/>
  <c r="ME5" i="10" s="1"/>
  <c r="MJ5" i="10" s="1"/>
  <c r="MN5" i="10" s="1"/>
  <c r="MS5" i="10" s="1"/>
  <c r="MX5" i="10" s="1"/>
  <c r="NC5" i="10" s="1"/>
  <c r="NH5" i="10" s="1"/>
  <c r="NM5" i="10" s="1"/>
  <c r="NR5" i="10" s="1"/>
  <c r="NW5" i="10" s="1"/>
  <c r="OB5" i="10" s="1"/>
  <c r="OG5" i="10" s="1"/>
  <c r="OL5" i="10" s="1"/>
  <c r="OQ5" i="10" s="1"/>
  <c r="OV5" i="10" s="1"/>
  <c r="PA5" i="10" s="1"/>
  <c r="PF5" i="10" s="1"/>
  <c r="PK5" i="10" s="1"/>
  <c r="D203" i="10" s="1"/>
  <c r="B1" i="10"/>
  <c r="E9" i="10" s="1"/>
  <c r="E10" i="10" s="1"/>
  <c r="F10" i="10" s="1"/>
  <c r="G108" i="10" l="1"/>
  <c r="G16" i="10"/>
  <c r="G53" i="10"/>
  <c r="D43" i="10"/>
  <c r="G127" i="10"/>
  <c r="D21" i="10"/>
  <c r="G128" i="10"/>
  <c r="G192" i="10"/>
  <c r="G27" i="10"/>
  <c r="G57" i="10"/>
  <c r="G111" i="10"/>
  <c r="G40" i="10"/>
  <c r="G187" i="10"/>
  <c r="G62" i="10"/>
  <c r="G64" i="10"/>
  <c r="G63" i="10"/>
  <c r="G88" i="10"/>
  <c r="G83" i="10"/>
  <c r="G98" i="10"/>
  <c r="E11" i="10"/>
  <c r="K10" i="10"/>
  <c r="G73" i="10"/>
  <c r="G65" i="10"/>
  <c r="G69" i="10"/>
  <c r="G155" i="10"/>
  <c r="G156" i="10"/>
  <c r="F9" i="10"/>
  <c r="K9" i="10" s="1"/>
  <c r="D8" i="10"/>
  <c r="D124" i="10"/>
  <c r="D118" i="10" s="1"/>
  <c r="I10" i="10"/>
  <c r="G159" i="10"/>
  <c r="G152" i="10"/>
  <c r="G164" i="10"/>
  <c r="G162" i="10"/>
  <c r="D184" i="10"/>
  <c r="M3" i="10"/>
  <c r="G48" i="10"/>
  <c r="G49" i="10"/>
  <c r="G45" i="10"/>
  <c r="E8" i="10"/>
  <c r="G185" i="10"/>
  <c r="G195" i="10"/>
  <c r="D175" i="10"/>
  <c r="I9" i="10" l="1"/>
  <c r="F11" i="10"/>
  <c r="I11" i="10" s="1"/>
  <c r="N3" i="10"/>
  <c r="M4" i="10"/>
  <c r="E12" i="10" l="1"/>
  <c r="K11" i="10"/>
  <c r="O3" i="10"/>
  <c r="N4" i="10"/>
  <c r="P3" i="10" l="1"/>
  <c r="O4" i="10"/>
  <c r="F12" i="10"/>
  <c r="I12" i="10" s="1"/>
  <c r="D9" i="4"/>
  <c r="E13" i="10" l="1"/>
  <c r="K12" i="10"/>
  <c r="P4" i="10"/>
  <c r="Q3" i="10"/>
  <c r="Q4" i="10" l="1"/>
  <c r="R3" i="10"/>
  <c r="F13" i="10"/>
  <c r="E14" i="10" l="1"/>
  <c r="K13" i="10"/>
  <c r="R4" i="10"/>
  <c r="S3" i="10"/>
  <c r="I13" i="10"/>
  <c r="S4" i="10" l="1"/>
  <c r="T3" i="10"/>
  <c r="E15" i="10"/>
  <c r="F14" i="10"/>
  <c r="K14" i="10" s="1"/>
  <c r="E16" i="10"/>
  <c r="I14" i="10" l="1"/>
  <c r="F15" i="10"/>
  <c r="F16" i="10"/>
  <c r="K16" i="10" s="1"/>
  <c r="U3" i="10"/>
  <c r="T4" i="10"/>
  <c r="I16" i="10" l="1"/>
  <c r="U4" i="10"/>
  <c r="V3" i="10"/>
  <c r="K15" i="10"/>
  <c r="E17" i="10"/>
  <c r="I15" i="10"/>
  <c r="V4" i="10" l="1"/>
  <c r="W3" i="10"/>
  <c r="F17" i="10"/>
  <c r="K17" i="10" l="1"/>
  <c r="E18" i="10"/>
  <c r="W4" i="10"/>
  <c r="X3" i="10"/>
  <c r="I17" i="10"/>
  <c r="X4" i="10" l="1"/>
  <c r="Y3" i="10"/>
  <c r="F18" i="10"/>
  <c r="I18" i="10" s="1"/>
  <c r="K18" i="10" l="1"/>
  <c r="E19" i="10"/>
  <c r="Y4" i="10"/>
  <c r="Z3" i="10"/>
  <c r="Z4" i="10" l="1"/>
  <c r="AA3" i="10"/>
  <c r="F19" i="10"/>
  <c r="I19" i="10" s="1"/>
  <c r="K19" i="10" l="1"/>
  <c r="E20" i="10"/>
  <c r="F20" i="10" s="1"/>
  <c r="AA4" i="10"/>
  <c r="AB3" i="10"/>
  <c r="AB4" i="10" l="1"/>
  <c r="AC3" i="10"/>
  <c r="K20" i="10"/>
  <c r="F8" i="10"/>
  <c r="AD3" i="10" l="1"/>
  <c r="AC4" i="10"/>
  <c r="E21" i="10"/>
  <c r="K8" i="10"/>
  <c r="I8" i="10"/>
  <c r="E22" i="10" l="1"/>
  <c r="AE3" i="10"/>
  <c r="AD4" i="10"/>
  <c r="AF3" i="10" l="1"/>
  <c r="AE4" i="10"/>
  <c r="E23" i="10"/>
  <c r="F22" i="10"/>
  <c r="K22" i="10" s="1"/>
  <c r="I22" i="10" l="1"/>
  <c r="F23" i="10"/>
  <c r="I23" i="10" s="1"/>
  <c r="AG3" i="10"/>
  <c r="AF4" i="10"/>
  <c r="AH3" i="10" l="1"/>
  <c r="AG4" i="10"/>
  <c r="K23" i="10"/>
  <c r="E24" i="10"/>
  <c r="F24" i="10" l="1"/>
  <c r="I24" i="10" s="1"/>
  <c r="AI3" i="10"/>
  <c r="AH4" i="10"/>
  <c r="AI4" i="10" l="1"/>
  <c r="AJ3" i="10"/>
  <c r="E25" i="10"/>
  <c r="K24" i="10"/>
  <c r="F25" i="10" l="1"/>
  <c r="AK3" i="10"/>
  <c r="AJ4" i="10"/>
  <c r="E26" i="10" l="1"/>
  <c r="K25" i="10"/>
  <c r="AK4" i="10"/>
  <c r="AL3" i="10"/>
  <c r="I25" i="10"/>
  <c r="AL4" i="10" l="1"/>
  <c r="AM3" i="10"/>
  <c r="F26" i="10"/>
  <c r="E27" i="10"/>
  <c r="E28" i="10"/>
  <c r="K26" i="10" l="1"/>
  <c r="E29" i="10"/>
  <c r="F28" i="10"/>
  <c r="K28" i="10" s="1"/>
  <c r="F27" i="10"/>
  <c r="K27" i="10" s="1"/>
  <c r="AM4" i="10"/>
  <c r="AN3" i="10"/>
  <c r="I26" i="10"/>
  <c r="I27" i="10" l="1"/>
  <c r="E30" i="10"/>
  <c r="F29" i="10"/>
  <c r="K29" i="10" s="1"/>
  <c r="AN4" i="10"/>
  <c r="AO3" i="10"/>
  <c r="I28" i="10"/>
  <c r="AO4" i="10" l="1"/>
  <c r="AP3" i="10"/>
  <c r="I29" i="10"/>
  <c r="F30" i="10"/>
  <c r="I30" i="10" s="1"/>
  <c r="AP4" i="10" l="1"/>
  <c r="AQ3" i="10"/>
  <c r="E31" i="10"/>
  <c r="K30" i="10"/>
  <c r="F31" i="10" l="1"/>
  <c r="I31" i="10" s="1"/>
  <c r="AQ4" i="10"/>
  <c r="AR3" i="10"/>
  <c r="AR4" i="10" l="1"/>
  <c r="AS3" i="10"/>
  <c r="E32" i="10"/>
  <c r="K31" i="10"/>
  <c r="F32" i="10" l="1"/>
  <c r="AS4" i="10"/>
  <c r="AT3" i="10"/>
  <c r="AT4" i="10" l="1"/>
  <c r="AU3" i="10"/>
  <c r="E33" i="10"/>
  <c r="K32" i="10"/>
  <c r="I32" i="10"/>
  <c r="F33" i="10" l="1"/>
  <c r="AV3" i="10"/>
  <c r="AU4" i="10"/>
  <c r="E34" i="10" l="1"/>
  <c r="K33" i="10"/>
  <c r="AW3" i="10"/>
  <c r="AV4" i="10"/>
  <c r="I33" i="10"/>
  <c r="AX3" i="10" l="1"/>
  <c r="AW4" i="10"/>
  <c r="F34" i="10"/>
  <c r="I34" i="10" s="1"/>
  <c r="E35" i="10" l="1"/>
  <c r="K34" i="10"/>
  <c r="AX4" i="10"/>
  <c r="AY3" i="10"/>
  <c r="AY4" i="10" l="1"/>
  <c r="AZ3" i="10"/>
  <c r="F35" i="10"/>
  <c r="I35" i="10" s="1"/>
  <c r="BA3" i="10" l="1"/>
  <c r="AZ4" i="10"/>
  <c r="E36" i="10"/>
  <c r="K35" i="10"/>
  <c r="F36" i="10" l="1"/>
  <c r="I36" i="10" s="1"/>
  <c r="BB3" i="10"/>
  <c r="BA4" i="10"/>
  <c r="BC3" i="10" l="1"/>
  <c r="BB4" i="10"/>
  <c r="E37" i="10"/>
  <c r="K36" i="10"/>
  <c r="F37" i="10" l="1"/>
  <c r="I37" i="10" s="1"/>
  <c r="BD3" i="10"/>
  <c r="BC4" i="10"/>
  <c r="BD4" i="10" l="1"/>
  <c r="BE3" i="10"/>
  <c r="E38" i="10"/>
  <c r="K37" i="10"/>
  <c r="F38" i="10" l="1"/>
  <c r="I38" i="10" s="1"/>
  <c r="E39" i="10"/>
  <c r="BF3" i="10"/>
  <c r="BE4" i="10"/>
  <c r="BF4" i="10" l="1"/>
  <c r="BG3" i="10"/>
  <c r="F39" i="10"/>
  <c r="K39" i="10" s="1"/>
  <c r="E40" i="10"/>
  <c r="E41" i="10"/>
  <c r="K38" i="10"/>
  <c r="I39" i="10" l="1"/>
  <c r="F41" i="10"/>
  <c r="BG4" i="10"/>
  <c r="BH3" i="10"/>
  <c r="F40" i="10"/>
  <c r="K40" i="10" s="1"/>
  <c r="BH4" i="10" l="1"/>
  <c r="BI3" i="10"/>
  <c r="I40" i="10"/>
  <c r="E42" i="10"/>
  <c r="F42" i="10" s="1"/>
  <c r="K41" i="10"/>
  <c r="I41" i="10"/>
  <c r="K42" i="10" l="1"/>
  <c r="F21" i="10"/>
  <c r="BI4" i="10"/>
  <c r="BJ3" i="10"/>
  <c r="BJ4" i="10" l="1"/>
  <c r="BK3" i="10"/>
  <c r="K21" i="10"/>
  <c r="E43" i="10"/>
  <c r="I21" i="10"/>
  <c r="E44" i="10" l="1"/>
  <c r="BL3" i="10"/>
  <c r="BK4" i="10"/>
  <c r="BL4" i="10" l="1"/>
  <c r="BM3" i="10"/>
  <c r="E49" i="10"/>
  <c r="E47" i="10"/>
  <c r="E48" i="10"/>
  <c r="E45" i="10"/>
  <c r="F44" i="10"/>
  <c r="I44" i="10" s="1"/>
  <c r="F45" i="10" l="1"/>
  <c r="F48" i="10"/>
  <c r="K48" i="10" s="1"/>
  <c r="F47" i="10"/>
  <c r="K47" i="10" s="1"/>
  <c r="F49" i="10"/>
  <c r="K49" i="10" s="1"/>
  <c r="BN3" i="10"/>
  <c r="BM4" i="10"/>
  <c r="K44" i="10"/>
  <c r="E50" i="10"/>
  <c r="F50" i="10" l="1"/>
  <c r="BN4" i="10"/>
  <c r="BO3" i="10"/>
  <c r="I49" i="10"/>
  <c r="I47" i="10"/>
  <c r="I48" i="10"/>
  <c r="E46" i="10"/>
  <c r="K45" i="10"/>
  <c r="I45" i="10"/>
  <c r="BO4" i="10" l="1"/>
  <c r="BP3" i="10"/>
  <c r="F46" i="10"/>
  <c r="K46" i="10" s="1"/>
  <c r="E51" i="10"/>
  <c r="K50" i="10"/>
  <c r="I50" i="10"/>
  <c r="E53" i="10" l="1"/>
  <c r="F51" i="10"/>
  <c r="I51" i="10" s="1"/>
  <c r="E52" i="10"/>
  <c r="I46" i="10"/>
  <c r="BQ3" i="10"/>
  <c r="BP4" i="10"/>
  <c r="F52" i="10" l="1"/>
  <c r="BR3" i="10"/>
  <c r="BQ4" i="10"/>
  <c r="K51" i="10"/>
  <c r="E55" i="10"/>
  <c r="F53" i="10"/>
  <c r="K53" i="10" s="1"/>
  <c r="K52" i="10" l="1"/>
  <c r="E54" i="10"/>
  <c r="I53" i="10"/>
  <c r="E56" i="10"/>
  <c r="F55" i="10"/>
  <c r="I55" i="10" s="1"/>
  <c r="E57" i="10"/>
  <c r="BS3" i="10"/>
  <c r="BR4" i="10"/>
  <c r="I52" i="10"/>
  <c r="F57" i="10" l="1"/>
  <c r="K57" i="10" s="1"/>
  <c r="BT3" i="10"/>
  <c r="BS4" i="10"/>
  <c r="F54" i="10"/>
  <c r="K54" i="10" s="1"/>
  <c r="E59" i="10"/>
  <c r="F59" i="10" s="1"/>
  <c r="K55" i="10"/>
  <c r="F56" i="10"/>
  <c r="I56" i="10" s="1"/>
  <c r="E58" i="10" l="1"/>
  <c r="K56" i="10"/>
  <c r="F43" i="10"/>
  <c r="K59" i="10"/>
  <c r="I54" i="10"/>
  <c r="BT4" i="10"/>
  <c r="BU3" i="10"/>
  <c r="I57" i="10"/>
  <c r="BU4" i="10" l="1"/>
  <c r="BV3" i="10"/>
  <c r="K43" i="10"/>
  <c r="E60" i="10"/>
  <c r="I43" i="10"/>
  <c r="F58" i="10"/>
  <c r="K58" i="10" s="1"/>
  <c r="E61" i="10" l="1"/>
  <c r="BV4" i="10"/>
  <c r="BW3" i="10"/>
  <c r="I58" i="10"/>
  <c r="BW4" i="10" l="1"/>
  <c r="BX3" i="10"/>
  <c r="E64" i="10"/>
  <c r="E63" i="10"/>
  <c r="E62" i="10"/>
  <c r="F61" i="10"/>
  <c r="I61" i="10" s="1"/>
  <c r="F62" i="10" l="1"/>
  <c r="K62" i="10" s="1"/>
  <c r="F63" i="10"/>
  <c r="K63" i="10" s="1"/>
  <c r="F64" i="10"/>
  <c r="K64" i="10" s="1"/>
  <c r="E69" i="10"/>
  <c r="K61" i="10"/>
  <c r="E65" i="10"/>
  <c r="E73" i="10"/>
  <c r="BX4" i="10"/>
  <c r="BY3" i="10"/>
  <c r="I63" i="10" l="1"/>
  <c r="I62" i="10"/>
  <c r="F65" i="10"/>
  <c r="I65" i="10" s="1"/>
  <c r="E67" i="10"/>
  <c r="E66" i="10"/>
  <c r="BY4" i="10"/>
  <c r="BZ3" i="10"/>
  <c r="E74" i="10"/>
  <c r="F73" i="10"/>
  <c r="K73" i="10" s="1"/>
  <c r="E75" i="10"/>
  <c r="F69" i="10"/>
  <c r="K69" i="10" s="1"/>
  <c r="E71" i="10"/>
  <c r="E70" i="10"/>
  <c r="I64" i="10"/>
  <c r="I69" i="10" l="1"/>
  <c r="I73" i="10"/>
  <c r="F75" i="10"/>
  <c r="K75" i="10" s="1"/>
  <c r="BZ4" i="10"/>
  <c r="CA3" i="10"/>
  <c r="F67" i="10"/>
  <c r="K67" i="10" s="1"/>
  <c r="F74" i="10"/>
  <c r="K74" i="10" s="1"/>
  <c r="F66" i="10"/>
  <c r="F70" i="10"/>
  <c r="I70" i="10" s="1"/>
  <c r="F71" i="10"/>
  <c r="K71" i="10" s="1"/>
  <c r="E76" i="10"/>
  <c r="K65" i="10"/>
  <c r="I67" i="10" l="1"/>
  <c r="E77" i="10"/>
  <c r="E78" i="10"/>
  <c r="F76" i="10"/>
  <c r="K76" i="10" s="1"/>
  <c r="I71" i="10"/>
  <c r="E68" i="10"/>
  <c r="K66" i="10"/>
  <c r="I74" i="10"/>
  <c r="CA4" i="10"/>
  <c r="CB3" i="10"/>
  <c r="E72" i="10"/>
  <c r="K70" i="10"/>
  <c r="I66" i="10"/>
  <c r="I75" i="10"/>
  <c r="CB4" i="10" l="1"/>
  <c r="CC3" i="10"/>
  <c r="F68" i="10"/>
  <c r="K68" i="10" s="1"/>
  <c r="F78" i="10"/>
  <c r="K78" i="10" s="1"/>
  <c r="F77" i="10"/>
  <c r="I77" i="10"/>
  <c r="F72" i="10"/>
  <c r="K72" i="10" s="1"/>
  <c r="I76" i="10"/>
  <c r="I68" i="10" l="1"/>
  <c r="I72" i="10"/>
  <c r="E79" i="10"/>
  <c r="K77" i="10"/>
  <c r="I78" i="10"/>
  <c r="CC4" i="10"/>
  <c r="CD3" i="10"/>
  <c r="F79" i="10" l="1"/>
  <c r="I79" i="10" s="1"/>
  <c r="CD4" i="10"/>
  <c r="CE3" i="10"/>
  <c r="CF3" i="10" l="1"/>
  <c r="CE4" i="10"/>
  <c r="K79" i="10"/>
  <c r="E80" i="10"/>
  <c r="F80" i="10" l="1"/>
  <c r="I80" i="10" s="1"/>
  <c r="CG3" i="10"/>
  <c r="CF4" i="10"/>
  <c r="CG4" i="10" l="1"/>
  <c r="CH3" i="10"/>
  <c r="E81" i="10"/>
  <c r="F81" i="10" s="1"/>
  <c r="K80" i="10"/>
  <c r="K81" i="10" l="1"/>
  <c r="F60" i="10"/>
  <c r="CI3" i="10"/>
  <c r="CH4" i="10"/>
  <c r="K60" i="10" l="1"/>
  <c r="E82" i="10"/>
  <c r="I60" i="10"/>
  <c r="CI4" i="10"/>
  <c r="CJ3" i="10"/>
  <c r="CJ4" i="10" l="1"/>
  <c r="CK3" i="10"/>
  <c r="E83" i="10"/>
  <c r="E98" i="10"/>
  <c r="E88" i="10"/>
  <c r="E89" i="10" l="1"/>
  <c r="E90" i="10"/>
  <c r="F83" i="10"/>
  <c r="E84" i="10"/>
  <c r="E85" i="10"/>
  <c r="CK4" i="10"/>
  <c r="CL3" i="10"/>
  <c r="E99" i="10"/>
  <c r="F99" i="10" l="1"/>
  <c r="K83" i="10"/>
  <c r="CM3" i="10"/>
  <c r="CL4" i="10"/>
  <c r="F85" i="10"/>
  <c r="K85" i="10" s="1"/>
  <c r="I83" i="10"/>
  <c r="F84" i="10"/>
  <c r="I84" i="10" s="1"/>
  <c r="F90" i="10"/>
  <c r="K90" i="10" s="1"/>
  <c r="F89" i="10"/>
  <c r="I89" i="10" s="1"/>
  <c r="I85" i="10" l="1"/>
  <c r="I90" i="10"/>
  <c r="K99" i="10"/>
  <c r="K89" i="10"/>
  <c r="E86" i="10"/>
  <c r="K84" i="10"/>
  <c r="CN3" i="10"/>
  <c r="CM4" i="10"/>
  <c r="I99" i="10"/>
  <c r="CO3" i="10" l="1"/>
  <c r="CN4" i="10"/>
  <c r="F86" i="10"/>
  <c r="E87" i="10" l="1"/>
  <c r="K86" i="10"/>
  <c r="E91" i="10"/>
  <c r="I86" i="10"/>
  <c r="CP3" i="10"/>
  <c r="CO4" i="10"/>
  <c r="CP4" i="10" l="1"/>
  <c r="CQ3" i="10"/>
  <c r="F91" i="10"/>
  <c r="I91" i="10" s="1"/>
  <c r="F87" i="10"/>
  <c r="K87" i="10" s="1"/>
  <c r="E92" i="10" l="1"/>
  <c r="K91" i="10"/>
  <c r="E100" i="10"/>
  <c r="CQ4" i="10"/>
  <c r="CR3" i="10"/>
  <c r="I87" i="10"/>
  <c r="CR4" i="10" l="1"/>
  <c r="CS3" i="10"/>
  <c r="F100" i="10"/>
  <c r="I100" i="10" s="1"/>
  <c r="F92" i="10"/>
  <c r="I92" i="10" s="1"/>
  <c r="K92" i="10" l="1"/>
  <c r="E93" i="10"/>
  <c r="D88" i="10"/>
  <c r="F88" i="10" s="1"/>
  <c r="CT3" i="10"/>
  <c r="CS4" i="10"/>
  <c r="K100" i="10"/>
  <c r="E101" i="10"/>
  <c r="F101" i="10" l="1"/>
  <c r="I101" i="10" s="1"/>
  <c r="CT4" i="10"/>
  <c r="CU3" i="10"/>
  <c r="F93" i="10"/>
  <c r="K93" i="10" s="1"/>
  <c r="E95" i="10"/>
  <c r="E94" i="10"/>
  <c r="K88" i="10"/>
  <c r="I88" i="10"/>
  <c r="F94" i="10" l="1"/>
  <c r="F95" i="10"/>
  <c r="K95" i="10" s="1"/>
  <c r="I93" i="10"/>
  <c r="CU4" i="10"/>
  <c r="CV3" i="10"/>
  <c r="K101" i="10"/>
  <c r="D98" i="10"/>
  <c r="I95" i="10" l="1"/>
  <c r="F98" i="10"/>
  <c r="D82" i="10"/>
  <c r="CV4" i="10"/>
  <c r="CW3" i="10"/>
  <c r="K94" i="10"/>
  <c r="E96" i="10"/>
  <c r="I94" i="10"/>
  <c r="F96" i="10" l="1"/>
  <c r="I96" i="10" s="1"/>
  <c r="CW4" i="10"/>
  <c r="CX3" i="10"/>
  <c r="K98" i="10"/>
  <c r="I98" i="10"/>
  <c r="CX4" i="10" l="1"/>
  <c r="CY3" i="10"/>
  <c r="E102" i="10"/>
  <c r="E97" i="10"/>
  <c r="K96" i="10"/>
  <c r="E103" i="10" l="1"/>
  <c r="F97" i="10"/>
  <c r="K97" i="10" s="1"/>
  <c r="CZ3" i="10"/>
  <c r="CY4" i="10"/>
  <c r="I97" i="10" l="1"/>
  <c r="F103" i="10"/>
  <c r="K103" i="10" s="1"/>
  <c r="CZ4" i="10"/>
  <c r="DA3" i="10"/>
  <c r="E104" i="10"/>
  <c r="DA4" i="10" l="1"/>
  <c r="DB3" i="10"/>
  <c r="F104" i="10"/>
  <c r="I103" i="10"/>
  <c r="E105" i="10" l="1"/>
  <c r="K104" i="10"/>
  <c r="I104" i="10"/>
  <c r="DB4" i="10"/>
  <c r="DC3" i="10"/>
  <c r="DC4" i="10" l="1"/>
  <c r="DD3" i="10"/>
  <c r="F105" i="10"/>
  <c r="K105" i="10" l="1"/>
  <c r="E106" i="10"/>
  <c r="F102" i="10"/>
  <c r="DE3" i="10"/>
  <c r="DD4" i="10"/>
  <c r="I105" i="10"/>
  <c r="DF3" i="10" l="1"/>
  <c r="DE4" i="10"/>
  <c r="E108" i="10"/>
  <c r="E107" i="10"/>
  <c r="F106" i="10"/>
  <c r="K102" i="10"/>
  <c r="I102" i="10"/>
  <c r="E110" i="10" l="1"/>
  <c r="K106" i="10"/>
  <c r="I106" i="10"/>
  <c r="F107" i="10"/>
  <c r="F108" i="10"/>
  <c r="K108" i="10" s="1"/>
  <c r="DF4" i="10"/>
  <c r="DG3" i="10"/>
  <c r="I108" i="10" l="1"/>
  <c r="DG4" i="10"/>
  <c r="DH3" i="10"/>
  <c r="K107" i="10"/>
  <c r="E109" i="10"/>
  <c r="I107" i="10"/>
  <c r="F110" i="10"/>
  <c r="E111" i="10"/>
  <c r="E112" i="10"/>
  <c r="F112" i="10" l="1"/>
  <c r="K112" i="10" s="1"/>
  <c r="K110" i="10"/>
  <c r="E114" i="10"/>
  <c r="F109" i="10"/>
  <c r="K109" i="10" s="1"/>
  <c r="DH4" i="10"/>
  <c r="DI3" i="10"/>
  <c r="I110" i="10"/>
  <c r="F111" i="10"/>
  <c r="E113" i="10" l="1"/>
  <c r="K111" i="10"/>
  <c r="DJ3" i="10"/>
  <c r="DI4" i="10"/>
  <c r="I111" i="10"/>
  <c r="I109" i="10"/>
  <c r="E115" i="10"/>
  <c r="F114" i="10"/>
  <c r="I114" i="10" s="1"/>
  <c r="I112" i="10"/>
  <c r="DJ4" i="10" l="1"/>
  <c r="DK3" i="10"/>
  <c r="E117" i="10"/>
  <c r="F117" i="10" s="1"/>
  <c r="K114" i="10"/>
  <c r="F115" i="10"/>
  <c r="I115" i="10" s="1"/>
  <c r="F113" i="10"/>
  <c r="K113" i="10" s="1"/>
  <c r="DK4" i="10" l="1"/>
  <c r="DL3" i="10"/>
  <c r="I113" i="10"/>
  <c r="E116" i="10"/>
  <c r="K115" i="10"/>
  <c r="K117" i="10"/>
  <c r="F82" i="10"/>
  <c r="DM3" i="10" l="1"/>
  <c r="DL4" i="10"/>
  <c r="E118" i="10"/>
  <c r="K82" i="10"/>
  <c r="I82" i="10"/>
  <c r="F116" i="10"/>
  <c r="K116" i="10" s="1"/>
  <c r="I116" i="10" l="1"/>
  <c r="E119" i="10"/>
  <c r="DM4" i="10"/>
  <c r="DN3" i="10"/>
  <c r="E120" i="10" l="1"/>
  <c r="F119" i="10"/>
  <c r="DN4" i="10"/>
  <c r="DO3" i="10"/>
  <c r="DO4" i="10" l="1"/>
  <c r="DP3" i="10"/>
  <c r="K119" i="10"/>
  <c r="E124" i="10"/>
  <c r="I119" i="10"/>
  <c r="F120" i="10"/>
  <c r="I120" i="10" s="1"/>
  <c r="E125" i="10" l="1"/>
  <c r="F124" i="10"/>
  <c r="K120" i="10"/>
  <c r="E121" i="10"/>
  <c r="DP4" i="10"/>
  <c r="DQ3" i="10"/>
  <c r="DR3" i="10" l="1"/>
  <c r="DQ4" i="10"/>
  <c r="F121" i="10"/>
  <c r="I121" i="10" s="1"/>
  <c r="K124" i="10"/>
  <c r="E139" i="10"/>
  <c r="E128" i="10"/>
  <c r="E126" i="10"/>
  <c r="E127" i="10"/>
  <c r="F125" i="10"/>
  <c r="I125" i="10" s="1"/>
  <c r="I124" i="10"/>
  <c r="F127" i="10" l="1"/>
  <c r="K127" i="10" s="1"/>
  <c r="F128" i="10"/>
  <c r="K128" i="10" s="1"/>
  <c r="E122" i="10"/>
  <c r="K121" i="10"/>
  <c r="E130" i="10"/>
  <c r="K125" i="10"/>
  <c r="F126" i="10"/>
  <c r="I126" i="10" s="1"/>
  <c r="E140" i="10"/>
  <c r="F139" i="10"/>
  <c r="K139" i="10" s="1"/>
  <c r="DS3" i="10"/>
  <c r="DR4" i="10"/>
  <c r="I128" i="10" l="1"/>
  <c r="I127" i="10"/>
  <c r="DT3" i="10"/>
  <c r="DS4" i="10"/>
  <c r="K126" i="10"/>
  <c r="E129" i="10"/>
  <c r="I139" i="10"/>
  <c r="F140" i="10"/>
  <c r="I140" i="10" s="1"/>
  <c r="E131" i="10"/>
  <c r="F130" i="10"/>
  <c r="F122" i="10"/>
  <c r="E136" i="10" l="1"/>
  <c r="K130" i="10"/>
  <c r="F129" i="10"/>
  <c r="K129" i="10" s="1"/>
  <c r="E141" i="10"/>
  <c r="K140" i="10"/>
  <c r="E123" i="10"/>
  <c r="K122" i="10"/>
  <c r="I122" i="10"/>
  <c r="F131" i="10"/>
  <c r="I131" i="10" s="1"/>
  <c r="I130" i="10"/>
  <c r="DU3" i="10"/>
  <c r="DT4" i="10"/>
  <c r="I129" i="10" l="1"/>
  <c r="E132" i="10"/>
  <c r="K131" i="10"/>
  <c r="DV3" i="10"/>
  <c r="DU4" i="10"/>
  <c r="F123" i="10"/>
  <c r="K123" i="10" s="1"/>
  <c r="F141" i="10"/>
  <c r="F136" i="10"/>
  <c r="E137" i="10" l="1"/>
  <c r="K136" i="10"/>
  <c r="K141" i="10"/>
  <c r="E142" i="10"/>
  <c r="I141" i="10"/>
  <c r="I123" i="10"/>
  <c r="DV4" i="10"/>
  <c r="DW3" i="10"/>
  <c r="I136" i="10"/>
  <c r="F132" i="10"/>
  <c r="I132" i="10" s="1"/>
  <c r="F142" i="10" l="1"/>
  <c r="I142" i="10" s="1"/>
  <c r="E133" i="10"/>
  <c r="K132" i="10"/>
  <c r="DW4" i="10"/>
  <c r="DX3" i="10"/>
  <c r="F137" i="10"/>
  <c r="I137" i="10" s="1"/>
  <c r="E138" i="10" l="1"/>
  <c r="K137" i="10"/>
  <c r="DX4" i="10"/>
  <c r="DY3" i="10"/>
  <c r="F133" i="10"/>
  <c r="I133" i="10" s="1"/>
  <c r="K142" i="10"/>
  <c r="E143" i="10"/>
  <c r="DY4" i="10" l="1"/>
  <c r="DZ3" i="10"/>
  <c r="F143" i="10"/>
  <c r="E134" i="10"/>
  <c r="K133" i="10"/>
  <c r="F138" i="10"/>
  <c r="K138" i="10" s="1"/>
  <c r="I138" i="10" l="1"/>
  <c r="K143" i="10"/>
  <c r="E144" i="10"/>
  <c r="F144" i="10" s="1"/>
  <c r="I143" i="10"/>
  <c r="DZ4" i="10"/>
  <c r="EA3" i="10"/>
  <c r="F134" i="10"/>
  <c r="EA4" i="10" l="1"/>
  <c r="EB3" i="10"/>
  <c r="E135" i="10"/>
  <c r="K134" i="10"/>
  <c r="I134" i="10"/>
  <c r="K144" i="10"/>
  <c r="F118" i="10"/>
  <c r="EC3" i="10" l="1"/>
  <c r="EB4" i="10"/>
  <c r="K118" i="10"/>
  <c r="E145" i="10"/>
  <c r="I118" i="10"/>
  <c r="F135" i="10"/>
  <c r="K135" i="10" s="1"/>
  <c r="I135" i="10" l="1"/>
  <c r="E146" i="10"/>
  <c r="EC4" i="10"/>
  <c r="ED3" i="10"/>
  <c r="E147" i="10" l="1"/>
  <c r="F146" i="10"/>
  <c r="K146" i="10" s="1"/>
  <c r="ED4" i="10"/>
  <c r="EE3" i="10"/>
  <c r="EE4" i="10" l="1"/>
  <c r="EF3" i="10"/>
  <c r="I146" i="10"/>
  <c r="F147" i="10"/>
  <c r="K147" i="10" l="1"/>
  <c r="E148" i="10"/>
  <c r="EF4" i="10"/>
  <c r="EG3" i="10"/>
  <c r="I147" i="10"/>
  <c r="EG4" i="10" l="1"/>
  <c r="EH3" i="10"/>
  <c r="F148" i="10"/>
  <c r="E149" i="10" l="1"/>
  <c r="K148" i="10"/>
  <c r="EI3" i="10"/>
  <c r="EH4" i="10"/>
  <c r="I148" i="10"/>
  <c r="EI4" i="10" l="1"/>
  <c r="EJ3" i="10"/>
  <c r="F149" i="10"/>
  <c r="I149" i="10" s="1"/>
  <c r="EK3" i="10" l="1"/>
  <c r="EJ4" i="10"/>
  <c r="E150" i="10"/>
  <c r="K149" i="10"/>
  <c r="F150" i="10" l="1"/>
  <c r="EL3" i="10"/>
  <c r="EK4" i="10"/>
  <c r="EM3" i="10" l="1"/>
  <c r="EL4" i="10"/>
  <c r="E151" i="10"/>
  <c r="K150" i="10"/>
  <c r="I150" i="10"/>
  <c r="F151" i="10" l="1"/>
  <c r="EN3" i="10"/>
  <c r="EM4" i="10"/>
  <c r="E159" i="10" l="1"/>
  <c r="E152" i="10"/>
  <c r="K151" i="10"/>
  <c r="EO3" i="10"/>
  <c r="EN4" i="10"/>
  <c r="I151" i="10"/>
  <c r="EO4" i="10" l="1"/>
  <c r="EP3" i="10"/>
  <c r="E153" i="10"/>
  <c r="F152" i="10"/>
  <c r="K152" i="10" s="1"/>
  <c r="E160" i="10"/>
  <c r="F159" i="10"/>
  <c r="E166" i="10" l="1"/>
  <c r="K159" i="10"/>
  <c r="D145" i="10"/>
  <c r="D202" i="10" s="1"/>
  <c r="I152" i="10"/>
  <c r="I159" i="10"/>
  <c r="F160" i="10"/>
  <c r="I160" i="10" s="1"/>
  <c r="EP4" i="10"/>
  <c r="EQ3" i="10"/>
  <c r="F153" i="10"/>
  <c r="E154" i="10" l="1"/>
  <c r="K153" i="10"/>
  <c r="I153" i="10"/>
  <c r="ER3" i="10"/>
  <c r="EQ4" i="10"/>
  <c r="K160" i="10"/>
  <c r="E161" i="10"/>
  <c r="E167" i="10"/>
  <c r="F166" i="10"/>
  <c r="I166" i="10" s="1"/>
  <c r="F161" i="10" l="1"/>
  <c r="ES3" i="10"/>
  <c r="ER4" i="10"/>
  <c r="K166" i="10"/>
  <c r="E172" i="10"/>
  <c r="F167" i="10"/>
  <c r="I167" i="10" s="1"/>
  <c r="F154" i="10"/>
  <c r="I154" i="10" s="1"/>
  <c r="F172" i="10" l="1"/>
  <c r="I172" i="10" s="1"/>
  <c r="E162" i="10"/>
  <c r="K161" i="10"/>
  <c r="E164" i="10"/>
  <c r="E156" i="10"/>
  <c r="E155" i="10"/>
  <c r="K154" i="10"/>
  <c r="E168" i="10"/>
  <c r="K167" i="10"/>
  <c r="ES4" i="10"/>
  <c r="ET3" i="10"/>
  <c r="I161" i="10"/>
  <c r="ET4" i="10" l="1"/>
  <c r="EU3" i="10"/>
  <c r="F168" i="10"/>
  <c r="F164" i="10"/>
  <c r="K164" i="10" s="1"/>
  <c r="F155" i="10"/>
  <c r="F156" i="10"/>
  <c r="K156" i="10" s="1"/>
  <c r="F162" i="10"/>
  <c r="K172" i="10"/>
  <c r="E173" i="10"/>
  <c r="K162" i="10" l="1"/>
  <c r="E163" i="10"/>
  <c r="K155" i="10"/>
  <c r="E157" i="10"/>
  <c r="E169" i="10"/>
  <c r="K168" i="10"/>
  <c r="F173" i="10"/>
  <c r="I156" i="10"/>
  <c r="I155" i="10"/>
  <c r="I164" i="10"/>
  <c r="EU4" i="10"/>
  <c r="EV3" i="10"/>
  <c r="I162" i="10"/>
  <c r="I168" i="10"/>
  <c r="E174" i="10" l="1"/>
  <c r="F174" i="10" s="1"/>
  <c r="K173" i="10"/>
  <c r="EV4" i="10"/>
  <c r="EW3" i="10"/>
  <c r="F169" i="10"/>
  <c r="F163" i="10"/>
  <c r="I173" i="10"/>
  <c r="F157" i="10"/>
  <c r="I157" i="10" s="1"/>
  <c r="K169" i="10" l="1"/>
  <c r="E170" i="10"/>
  <c r="K157" i="10"/>
  <c r="E158" i="10"/>
  <c r="K163" i="10"/>
  <c r="E165" i="10"/>
  <c r="I169" i="10"/>
  <c r="EW4" i="10"/>
  <c r="EX3" i="10"/>
  <c r="I163" i="10"/>
  <c r="F145" i="10"/>
  <c r="K174" i="10"/>
  <c r="E175" i="10" l="1"/>
  <c r="K145" i="10"/>
  <c r="I145" i="10"/>
  <c r="F165" i="10"/>
  <c r="K165" i="10" s="1"/>
  <c r="F158" i="10"/>
  <c r="EX4" i="10"/>
  <c r="EY3" i="10"/>
  <c r="F170" i="10"/>
  <c r="K170" i="10" s="1"/>
  <c r="E171" i="10" l="1"/>
  <c r="K158" i="10"/>
  <c r="I170" i="10"/>
  <c r="EY4" i="10"/>
  <c r="EZ3" i="10"/>
  <c r="I158" i="10"/>
  <c r="I165" i="10"/>
  <c r="E176" i="10"/>
  <c r="EZ4" i="10" l="1"/>
  <c r="FA3" i="10"/>
  <c r="F176" i="10"/>
  <c r="E177" i="10"/>
  <c r="F171" i="10"/>
  <c r="K171" i="10" s="1"/>
  <c r="E178" i="10" l="1"/>
  <c r="K176" i="10"/>
  <c r="I176" i="10"/>
  <c r="FB3" i="10"/>
  <c r="FA4" i="10"/>
  <c r="I171" i="10"/>
  <c r="F177" i="10"/>
  <c r="K177" i="10" l="1"/>
  <c r="I177" i="10"/>
  <c r="FB4" i="10"/>
  <c r="FC3" i="10"/>
  <c r="E179" i="10"/>
  <c r="F178" i="10"/>
  <c r="I178" i="10" s="1"/>
  <c r="FC4" i="10" l="1"/>
  <c r="FD3" i="10"/>
  <c r="K178" i="10"/>
  <c r="E182" i="10"/>
  <c r="F179" i="10"/>
  <c r="I179" i="10" s="1"/>
  <c r="F182" i="10" l="1"/>
  <c r="FD4" i="10"/>
  <c r="FE3" i="10"/>
  <c r="E180" i="10"/>
  <c r="K179" i="10"/>
  <c r="FF3" i="10" l="1"/>
  <c r="FE4" i="10"/>
  <c r="F180" i="10"/>
  <c r="I180" i="10" s="1"/>
  <c r="K182" i="10"/>
  <c r="E183" i="10"/>
  <c r="F183" i="10" s="1"/>
  <c r="I182" i="10"/>
  <c r="F175" i="10" l="1"/>
  <c r="K183" i="10"/>
  <c r="K180" i="10"/>
  <c r="E181" i="10"/>
  <c r="FF4" i="10"/>
  <c r="FG3" i="10"/>
  <c r="FG4" i="10" l="1"/>
  <c r="FH3" i="10"/>
  <c r="F181" i="10"/>
  <c r="K181" i="10" s="1"/>
  <c r="K175" i="10"/>
  <c r="E184" i="10"/>
  <c r="I175" i="10"/>
  <c r="I181" i="10" l="1"/>
  <c r="E195" i="10"/>
  <c r="E185" i="10"/>
  <c r="FI3" i="10"/>
  <c r="FH4" i="10"/>
  <c r="FI4" i="10" l="1"/>
  <c r="FJ3" i="10"/>
  <c r="E186" i="10"/>
  <c r="F185" i="10"/>
  <c r="I185" i="10" s="1"/>
  <c r="F195" i="10"/>
  <c r="K195" i="10" s="1"/>
  <c r="E196" i="10"/>
  <c r="K185" i="10" l="1"/>
  <c r="E190" i="10"/>
  <c r="FJ4" i="10"/>
  <c r="FK3" i="10"/>
  <c r="F196" i="10"/>
  <c r="I196" i="10" s="1"/>
  <c r="I195" i="10"/>
  <c r="F186" i="10"/>
  <c r="E188" i="10" l="1"/>
  <c r="E187" i="10"/>
  <c r="K186" i="10"/>
  <c r="I186" i="10"/>
  <c r="E197" i="10"/>
  <c r="K196" i="10"/>
  <c r="FL3" i="10"/>
  <c r="FK4" i="10"/>
  <c r="E191" i="10"/>
  <c r="E192" i="10"/>
  <c r="F190" i="10"/>
  <c r="K190" i="10" s="1"/>
  <c r="F192" i="10" l="1"/>
  <c r="K192" i="10" s="1"/>
  <c r="F197" i="10"/>
  <c r="I190" i="10"/>
  <c r="F191" i="10"/>
  <c r="FL4" i="10"/>
  <c r="FM3" i="10"/>
  <c r="F187" i="10"/>
  <c r="F188" i="10"/>
  <c r="K188" i="10" s="1"/>
  <c r="I188" i="10" l="1"/>
  <c r="K187" i="10"/>
  <c r="E189" i="10"/>
  <c r="I187" i="10"/>
  <c r="E198" i="10"/>
  <c r="K197" i="10"/>
  <c r="E193" i="10"/>
  <c r="K191" i="10"/>
  <c r="I197" i="10"/>
  <c r="I192" i="10"/>
  <c r="FN3" i="10"/>
  <c r="FM4" i="10"/>
  <c r="I191" i="10"/>
  <c r="F198" i="10" l="1"/>
  <c r="I198" i="10" s="1"/>
  <c r="F189" i="10"/>
  <c r="K189" i="10" s="1"/>
  <c r="FO3" i="10"/>
  <c r="FN4" i="10"/>
  <c r="F193" i="10"/>
  <c r="I193" i="10" s="1"/>
  <c r="I189" i="10" l="1"/>
  <c r="E194" i="10"/>
  <c r="K193" i="10"/>
  <c r="FP3" i="10"/>
  <c r="FO4" i="10"/>
  <c r="E199" i="10"/>
  <c r="K198" i="10"/>
  <c r="F199" i="10" l="1"/>
  <c r="K199" i="10" s="1"/>
  <c r="F194" i="10"/>
  <c r="I194" i="10" s="1"/>
  <c r="FP4" i="10"/>
  <c r="FQ3" i="10"/>
  <c r="FQ4" i="10" l="1"/>
  <c r="FR3" i="10"/>
  <c r="E200" i="10"/>
  <c r="F200" i="10" s="1"/>
  <c r="K194" i="10"/>
  <c r="I199" i="10"/>
  <c r="K200" i="10" l="1"/>
  <c r="F184" i="10"/>
  <c r="D204" i="10" s="1"/>
  <c r="FS3" i="10"/>
  <c r="FR4" i="10"/>
  <c r="K184" i="10" l="1"/>
  <c r="B4" i="10"/>
  <c r="I184" i="10"/>
  <c r="I202" i="10" s="1"/>
  <c r="FS4" i="10"/>
  <c r="FT3" i="10"/>
  <c r="FT4" i="10" l="1"/>
  <c r="FU3" i="10"/>
  <c r="FU4" i="10" l="1"/>
  <c r="FV3" i="10"/>
  <c r="FV4" i="10" l="1"/>
  <c r="FW3" i="10"/>
  <c r="FW4" i="10" l="1"/>
  <c r="FX3" i="10"/>
  <c r="FX4" i="10" l="1"/>
  <c r="FY3" i="10"/>
  <c r="FZ3" i="10" l="1"/>
  <c r="FY4" i="10"/>
  <c r="GA3" i="10" l="1"/>
  <c r="FZ4" i="10"/>
  <c r="GB3" i="10" l="1"/>
  <c r="GA4" i="10"/>
  <c r="GB4" i="10" l="1"/>
  <c r="GC3" i="10"/>
  <c r="GC4" i="10" l="1"/>
  <c r="GD3" i="10"/>
  <c r="GD4" i="10" l="1"/>
  <c r="GE3" i="10"/>
  <c r="GE4" i="10" l="1"/>
  <c r="GF3" i="10"/>
  <c r="GF4" i="10" l="1"/>
  <c r="GG3" i="10"/>
  <c r="GH3" i="10" l="1"/>
  <c r="GG4" i="10"/>
  <c r="GI3" i="10" l="1"/>
  <c r="GH4" i="10"/>
  <c r="GJ3" i="10" l="1"/>
  <c r="GI4" i="10"/>
  <c r="GK3" i="10" l="1"/>
  <c r="GJ4" i="10"/>
  <c r="GL3" i="10" l="1"/>
  <c r="GK4" i="10"/>
  <c r="GL4" i="10" l="1"/>
  <c r="GM3" i="10"/>
  <c r="GN3" i="10" l="1"/>
  <c r="GM4" i="10"/>
  <c r="GN4" i="10" l="1"/>
  <c r="GO3" i="10"/>
  <c r="GO4" i="10" l="1"/>
  <c r="GP3" i="10"/>
  <c r="GP4" i="10" l="1"/>
  <c r="GQ3" i="10"/>
  <c r="GR3" i="10" l="1"/>
  <c r="GQ4" i="10"/>
  <c r="GR4" i="10" l="1"/>
  <c r="GS3" i="10"/>
  <c r="GS4" i="10" l="1"/>
  <c r="GT3" i="10"/>
  <c r="GT4" i="10" l="1"/>
  <c r="GU3" i="10"/>
  <c r="GV3" i="10" l="1"/>
  <c r="GU4" i="10"/>
  <c r="GW3" i="10" l="1"/>
  <c r="GV4" i="10"/>
  <c r="GX3" i="10" l="1"/>
  <c r="GW4" i="10"/>
  <c r="GX4" i="10" l="1"/>
  <c r="GY3" i="10"/>
  <c r="GY4" i="10" l="1"/>
  <c r="GZ3" i="10"/>
  <c r="GZ4" i="10" l="1"/>
  <c r="HA3" i="10"/>
  <c r="HB3" i="10" l="1"/>
  <c r="HA4" i="10"/>
  <c r="HB4" i="10" l="1"/>
  <c r="HC3" i="10"/>
  <c r="HD3" i="10" l="1"/>
  <c r="HC4" i="10"/>
  <c r="HE3" i="10" l="1"/>
  <c r="HD4" i="10"/>
  <c r="HE4" i="10" l="1"/>
  <c r="HF3" i="10"/>
  <c r="HF4" i="10" l="1"/>
  <c r="HG3" i="10"/>
  <c r="HG4" i="10" l="1"/>
  <c r="HH3" i="10"/>
  <c r="HH4" i="10" l="1"/>
  <c r="HI3" i="10"/>
  <c r="HJ3" i="10" l="1"/>
  <c r="HI4" i="10"/>
  <c r="HJ4" i="10" l="1"/>
  <c r="HK3" i="10"/>
  <c r="HL3" i="10" l="1"/>
  <c r="HK4" i="10"/>
  <c r="HL4" i="10" l="1"/>
  <c r="HM3" i="10"/>
  <c r="HN3" i="10" l="1"/>
  <c r="HM4" i="10"/>
  <c r="HN4" i="10" l="1"/>
  <c r="HO3" i="10"/>
  <c r="HO4" i="10" l="1"/>
  <c r="HP3" i="10"/>
  <c r="HP4" i="10" l="1"/>
  <c r="HQ3" i="10"/>
  <c r="HR3" i="10" l="1"/>
  <c r="HQ4" i="10"/>
  <c r="HR4" i="10" l="1"/>
  <c r="HS3" i="10"/>
  <c r="HT3" i="10" l="1"/>
  <c r="HS4" i="10"/>
  <c r="HU3" i="10" l="1"/>
  <c r="HT4" i="10"/>
  <c r="HV3" i="10" l="1"/>
  <c r="HU4" i="10"/>
  <c r="HV4" i="10" l="1"/>
  <c r="HW3" i="10"/>
  <c r="HW4" i="10" l="1"/>
  <c r="HX3" i="10"/>
  <c r="HX4" i="10" l="1"/>
  <c r="HY3" i="10"/>
  <c r="HY4" i="10" l="1"/>
  <c r="HZ3" i="10"/>
  <c r="HZ4" i="10" l="1"/>
  <c r="IA3" i="10"/>
  <c r="IA4" i="10" l="1"/>
  <c r="IB3" i="10"/>
  <c r="IC3" i="10" l="1"/>
  <c r="IB4" i="10"/>
  <c r="IC4" i="10" l="1"/>
  <c r="ID3" i="10"/>
  <c r="IE3" i="10" l="1"/>
  <c r="ID4" i="10"/>
  <c r="IE4" i="10" l="1"/>
  <c r="IF3" i="10"/>
  <c r="IF4" i="10" l="1"/>
  <c r="IG3" i="10"/>
  <c r="IG4" i="10" l="1"/>
  <c r="IH3" i="10"/>
  <c r="II3" i="10" l="1"/>
  <c r="IH4" i="10"/>
  <c r="II4" i="10" l="1"/>
  <c r="IJ3" i="10"/>
  <c r="IJ4" i="10" l="1"/>
  <c r="IK3" i="10"/>
  <c r="IL3" i="10" l="1"/>
  <c r="IK4" i="10"/>
  <c r="IM3" i="10" l="1"/>
  <c r="IL4" i="10"/>
  <c r="IM4" i="10" l="1"/>
  <c r="IN3" i="10"/>
  <c r="IN4" i="10" l="1"/>
  <c r="IO3" i="10"/>
  <c r="IO4" i="10" l="1"/>
  <c r="IP3" i="10"/>
  <c r="IP4" i="10" l="1"/>
  <c r="IQ3" i="10"/>
  <c r="IQ4" i="10" l="1"/>
  <c r="IR3" i="10"/>
  <c r="IR4" i="10" l="1"/>
  <c r="IS3" i="10"/>
  <c r="IT3" i="10" l="1"/>
  <c r="IS4" i="10"/>
  <c r="IU3" i="10" l="1"/>
  <c r="IT4" i="10"/>
  <c r="IV3" i="10" l="1"/>
  <c r="IU4" i="10"/>
  <c r="IV4" i="10" l="1"/>
  <c r="IW3" i="10"/>
  <c r="IX3" i="10" l="1"/>
  <c r="IW4" i="10"/>
  <c r="IY3" i="10" l="1"/>
  <c r="IX4" i="10"/>
  <c r="IZ3" i="10" l="1"/>
  <c r="IY4" i="10"/>
  <c r="IZ4" i="10" l="1"/>
  <c r="JA3" i="10"/>
  <c r="JB3" i="10" l="1"/>
  <c r="JA4" i="10"/>
  <c r="JC3" i="10" l="1"/>
  <c r="JB4" i="10"/>
  <c r="JD3" i="10" l="1"/>
  <c r="JC4" i="10"/>
  <c r="JD4" i="10" l="1"/>
  <c r="JE3" i="10"/>
  <c r="JE4" i="10" l="1"/>
  <c r="JF3" i="10"/>
  <c r="JF4" i="10" l="1"/>
  <c r="JG3" i="10"/>
  <c r="JG4" i="10" l="1"/>
  <c r="JH3" i="10"/>
  <c r="JH4" i="10" l="1"/>
  <c r="JI3" i="10"/>
  <c r="JI4" i="10" l="1"/>
  <c r="JJ3" i="10"/>
  <c r="JK3" i="10" l="1"/>
  <c r="JJ4" i="10"/>
  <c r="JK4" i="10" l="1"/>
  <c r="JL3" i="10"/>
  <c r="JM3" i="10" l="1"/>
  <c r="JL4" i="10"/>
  <c r="JM4" i="10" l="1"/>
  <c r="JN3" i="10"/>
  <c r="JN4" i="10" l="1"/>
  <c r="JO3" i="10"/>
  <c r="JO4" i="10" l="1"/>
  <c r="JP3" i="10"/>
  <c r="JQ3" i="10" l="1"/>
  <c r="JP4" i="10"/>
  <c r="JR3" i="10" l="1"/>
  <c r="JQ4" i="10"/>
  <c r="JS3" i="10" l="1"/>
  <c r="JR4" i="10"/>
  <c r="JT3" i="10" l="1"/>
  <c r="JS4" i="10"/>
  <c r="JT4" i="10" l="1"/>
  <c r="JU3" i="10"/>
  <c r="JV3" i="10" l="1"/>
  <c r="JU4" i="10"/>
  <c r="JV4" i="10" l="1"/>
  <c r="JW3" i="10"/>
  <c r="JW4" i="10" l="1"/>
  <c r="JX3" i="10"/>
  <c r="JY3" i="10" l="1"/>
  <c r="JX4" i="10"/>
  <c r="JZ3" i="10" l="1"/>
  <c r="JY4" i="10"/>
  <c r="KA3" i="10" l="1"/>
  <c r="JZ4" i="10"/>
  <c r="KA4" i="10" l="1"/>
  <c r="KB3" i="10"/>
  <c r="KB4" i="10" l="1"/>
  <c r="KC3" i="10"/>
  <c r="KC4" i="10" l="1"/>
  <c r="KD3" i="10"/>
  <c r="KD4" i="10" l="1"/>
  <c r="KE3" i="10"/>
  <c r="KE4" i="10" l="1"/>
  <c r="KF3" i="10"/>
  <c r="KF4" i="10" l="1"/>
  <c r="KG3" i="10"/>
  <c r="KG4" i="10" l="1"/>
  <c r="KH3" i="10"/>
  <c r="KH4" i="10" l="1"/>
  <c r="KI3" i="10"/>
  <c r="KI4" i="10" l="1"/>
  <c r="KJ3" i="10"/>
  <c r="KJ4" i="10" l="1"/>
  <c r="KK3" i="10"/>
  <c r="KL3" i="10" l="1"/>
  <c r="KK4" i="10"/>
  <c r="KL4" i="10" l="1"/>
  <c r="KM3" i="10"/>
  <c r="KM4" i="10" l="1"/>
  <c r="KN3" i="10"/>
  <c r="KN4" i="10" l="1"/>
  <c r="KO3" i="10"/>
  <c r="KP3" i="10" l="1"/>
  <c r="KO4" i="10"/>
  <c r="KQ3" i="10" l="1"/>
  <c r="KP4" i="10"/>
  <c r="KR3" i="10" l="1"/>
  <c r="KQ4" i="10"/>
  <c r="KS3" i="10" l="1"/>
  <c r="KR4" i="10"/>
  <c r="KT3" i="10" l="1"/>
  <c r="KS4" i="10"/>
  <c r="KU3" i="10" l="1"/>
  <c r="KT4" i="10"/>
  <c r="KU4" i="10" l="1"/>
  <c r="KV3" i="10"/>
  <c r="KV4" i="10" l="1"/>
  <c r="KW3" i="10"/>
  <c r="KW4" i="10" l="1"/>
  <c r="KX3" i="10"/>
  <c r="KX4" i="10" l="1"/>
  <c r="KY3" i="10"/>
  <c r="KY4" i="10" l="1"/>
  <c r="KZ3" i="10"/>
  <c r="KZ4" i="10" l="1"/>
  <c r="LA3" i="10"/>
  <c r="LB3" i="10" l="1"/>
  <c r="LA4" i="10"/>
  <c r="LB4" i="10" l="1"/>
  <c r="LC3" i="10"/>
  <c r="LD3" i="10" l="1"/>
  <c r="LC4" i="10"/>
  <c r="LD4" i="10" l="1"/>
  <c r="LE3" i="10"/>
  <c r="LE4" i="10" l="1"/>
  <c r="LF3" i="10"/>
  <c r="LG3" i="10" l="1"/>
  <c r="LF4" i="10"/>
  <c r="LG4" i="10" l="1"/>
  <c r="LH3" i="10"/>
  <c r="LH4" i="10" l="1"/>
  <c r="LI3" i="10"/>
  <c r="LI4" i="10" l="1"/>
  <c r="LJ3" i="10"/>
  <c r="LK3" i="10" l="1"/>
  <c r="LJ4" i="10"/>
  <c r="LK4" i="10" l="1"/>
  <c r="LL3" i="10"/>
  <c r="LL4" i="10" l="1"/>
  <c r="LM3" i="10"/>
  <c r="LN3" i="10" l="1"/>
  <c r="LM4" i="10"/>
  <c r="LO3" i="10" l="1"/>
  <c r="LN4" i="10"/>
  <c r="LP3" i="10" l="1"/>
  <c r="LO4" i="10"/>
  <c r="LP4" i="10" l="1"/>
  <c r="LQ3" i="10"/>
  <c r="LQ4" i="10" l="1"/>
  <c r="LR3" i="10"/>
  <c r="LS3" i="10" l="1"/>
  <c r="LR4" i="10"/>
  <c r="LS4" i="10" l="1"/>
  <c r="LT3" i="10"/>
  <c r="LU3" i="10" l="1"/>
  <c r="LT4" i="10"/>
  <c r="LU4" i="10" l="1"/>
  <c r="LV3" i="10"/>
  <c r="LV4" i="10" l="1"/>
  <c r="LW3" i="10"/>
  <c r="LW4" i="10" l="1"/>
  <c r="LX3" i="10"/>
  <c r="LX4" i="10" l="1"/>
  <c r="LY3" i="10"/>
  <c r="LZ3" i="10" l="1"/>
  <c r="LY4" i="10"/>
  <c r="MA3" i="10" l="1"/>
  <c r="LZ4" i="10"/>
  <c r="MB3" i="10" l="1"/>
  <c r="MA4" i="10"/>
  <c r="MC3" i="10" l="1"/>
  <c r="MB4" i="10"/>
  <c r="MD3" i="10" l="1"/>
  <c r="MC4" i="10"/>
  <c r="MD4" i="10" l="1"/>
  <c r="ME3" i="10"/>
  <c r="ME4" i="10" l="1"/>
  <c r="MF3" i="10"/>
  <c r="MF4" i="10" l="1"/>
  <c r="MG3" i="10"/>
  <c r="MG4" i="10" l="1"/>
  <c r="MH3" i="10"/>
  <c r="MH4" i="10" l="1"/>
  <c r="MI3" i="10"/>
  <c r="MI4" i="10" l="1"/>
  <c r="MJ3" i="10"/>
  <c r="MK3" i="10" l="1"/>
  <c r="MJ4" i="10"/>
  <c r="ML3" i="10" l="1"/>
  <c r="MK4" i="10"/>
  <c r="ML4" i="10" l="1"/>
  <c r="MM3" i="10"/>
  <c r="MM4" i="10" l="1"/>
  <c r="MN3" i="10"/>
  <c r="MN4" i="10" l="1"/>
  <c r="MO3" i="10"/>
  <c r="MP3" i="10" l="1"/>
  <c r="MO4" i="10"/>
  <c r="MP4" i="10" l="1"/>
  <c r="MQ3" i="10"/>
  <c r="MR3" i="10" l="1"/>
  <c r="MQ4" i="10"/>
  <c r="MR4" i="10" l="1"/>
  <c r="MS3" i="10"/>
  <c r="MS4" i="10" l="1"/>
  <c r="MT3" i="10"/>
  <c r="MU3" i="10" l="1"/>
  <c r="MT4" i="10"/>
  <c r="MU4" i="10" l="1"/>
  <c r="MV3" i="10"/>
  <c r="MV4" i="10" l="1"/>
  <c r="MW3" i="10"/>
  <c r="MW4" i="10" l="1"/>
  <c r="MX3" i="10"/>
  <c r="MX4" i="10" l="1"/>
  <c r="MY3" i="10"/>
  <c r="MY4" i="10" l="1"/>
  <c r="MZ3" i="10"/>
  <c r="NA3" i="10" l="1"/>
  <c r="MZ4" i="10"/>
  <c r="NA4" i="10" l="1"/>
  <c r="NB3" i="10"/>
  <c r="NC3" i="10" l="1"/>
  <c r="NB4" i="10"/>
  <c r="NC4" i="10" l="1"/>
  <c r="ND3" i="10"/>
  <c r="ND4" i="10" l="1"/>
  <c r="NE3" i="10"/>
  <c r="NF3" i="10" l="1"/>
  <c r="NE4" i="10"/>
  <c r="NG3" i="10" l="1"/>
  <c r="NF4" i="10"/>
  <c r="NG4" i="10" l="1"/>
  <c r="NH3" i="10"/>
  <c r="NH4" i="10" l="1"/>
  <c r="NI3" i="10"/>
  <c r="NI4" i="10" l="1"/>
  <c r="NJ3" i="10"/>
  <c r="NK3" i="10" l="1"/>
  <c r="NJ4" i="10"/>
  <c r="NK4" i="10" l="1"/>
  <c r="NL3" i="10"/>
  <c r="NL4" i="10" l="1"/>
  <c r="NM3" i="10"/>
  <c r="NM4" i="10" l="1"/>
  <c r="NN3" i="10"/>
  <c r="NN4" i="10" l="1"/>
  <c r="NO3" i="10"/>
  <c r="NO4" i="10" l="1"/>
  <c r="NP3" i="10"/>
  <c r="NQ3" i="10" l="1"/>
  <c r="NP4" i="10"/>
  <c r="NQ4" i="10" l="1"/>
  <c r="NR3" i="10"/>
  <c r="NS3" i="10" l="1"/>
  <c r="NR4" i="10"/>
  <c r="NT3" i="10" l="1"/>
  <c r="NS4" i="10"/>
  <c r="NT4" i="10" l="1"/>
  <c r="NU3" i="10"/>
  <c r="NU4" i="10" l="1"/>
  <c r="NV3" i="10"/>
  <c r="NW3" i="10" l="1"/>
  <c r="NV4" i="10"/>
  <c r="NX3" i="10" l="1"/>
  <c r="NW4" i="10"/>
  <c r="NY3" i="10" l="1"/>
  <c r="NX4" i="10"/>
  <c r="NZ3" i="10" l="1"/>
  <c r="NY4" i="10"/>
  <c r="NZ4" i="10" l="1"/>
  <c r="OA3" i="10"/>
  <c r="OB3" i="10" l="1"/>
  <c r="OA4" i="10"/>
  <c r="OB4" i="10" l="1"/>
  <c r="OC3" i="10"/>
  <c r="OC4" i="10" l="1"/>
  <c r="OD3" i="10"/>
  <c r="OE3" i="10" l="1"/>
  <c r="OD4" i="10"/>
  <c r="OF3" i="10" l="1"/>
  <c r="OE4" i="10"/>
  <c r="OG3" i="10" l="1"/>
  <c r="OF4" i="10"/>
  <c r="OG4" i="10" l="1"/>
  <c r="OH3" i="10"/>
  <c r="OI3" i="10" l="1"/>
  <c r="OH4" i="10"/>
  <c r="OI4" i="10" l="1"/>
  <c r="OJ3" i="10"/>
  <c r="OJ4" i="10" l="1"/>
  <c r="OK3" i="10"/>
  <c r="OK4" i="10" l="1"/>
  <c r="OL3" i="10"/>
  <c r="OL4" i="10" l="1"/>
  <c r="OM3" i="10"/>
  <c r="OM4" i="10" l="1"/>
  <c r="ON3" i="10"/>
  <c r="OO3" i="10" l="1"/>
  <c r="ON4" i="10"/>
  <c r="OO4" i="10" l="1"/>
  <c r="OP3" i="10"/>
  <c r="OQ3" i="10" l="1"/>
  <c r="OP4" i="10"/>
  <c r="OR3" i="10" l="1"/>
  <c r="OQ4" i="10"/>
  <c r="OR4" i="10" l="1"/>
  <c r="OS3" i="10"/>
  <c r="OS4" i="10" l="1"/>
  <c r="OT3" i="10"/>
  <c r="OT4" i="10" l="1"/>
  <c r="OU3" i="10"/>
  <c r="OV3" i="10" l="1"/>
  <c r="OU4" i="10"/>
  <c r="OV4" i="10" l="1"/>
  <c r="OW3" i="10"/>
  <c r="OX3" i="10" l="1"/>
  <c r="OW4" i="10"/>
  <c r="OY3" i="10" l="1"/>
  <c r="OX4" i="10"/>
  <c r="OZ3" i="10" l="1"/>
  <c r="OY4" i="10"/>
  <c r="PA3" i="10" l="1"/>
  <c r="OZ4" i="10"/>
  <c r="PB3" i="10" l="1"/>
  <c r="PA4" i="10"/>
  <c r="PB4" i="10" l="1"/>
  <c r="PC3" i="10"/>
  <c r="PC4" i="10" l="1"/>
  <c r="PD3" i="10"/>
  <c r="PD4" i="10" l="1"/>
  <c r="PE3" i="10"/>
  <c r="PF3" i="10" l="1"/>
  <c r="PE4" i="10"/>
  <c r="PF4" i="10" l="1"/>
  <c r="PG3" i="10"/>
  <c r="PG4" i="10" l="1"/>
  <c r="PH3" i="10"/>
  <c r="PH4" i="10" l="1"/>
  <c r="PI3" i="10"/>
  <c r="PJ3" i="10" l="1"/>
  <c r="PI4" i="10"/>
  <c r="PJ4" i="10" l="1"/>
  <c r="PK3" i="10"/>
  <c r="PK4" i="10" l="1"/>
  <c r="PL3" i="10"/>
  <c r="PM3" i="10" l="1"/>
  <c r="PL4" i="10"/>
  <c r="PM4" i="10" l="1"/>
  <c r="PN3" i="10"/>
  <c r="PO3" i="10" l="1"/>
  <c r="PN4" i="10"/>
  <c r="PO4" i="10" l="1"/>
  <c r="PP3" i="10"/>
  <c r="PP4" i="10" l="1"/>
  <c r="PQ3" i="10"/>
  <c r="PQ4" i="10" l="1"/>
  <c r="PR3" i="10"/>
  <c r="PR4" i="10" l="1"/>
  <c r="PS3" i="10"/>
  <c r="PS4" i="10" l="1"/>
  <c r="PT3" i="10"/>
  <c r="PT4" i="10" l="1"/>
  <c r="PU3" i="10"/>
  <c r="PV3" i="10" l="1"/>
  <c r="PU4" i="10"/>
  <c r="PW3" i="10" l="1"/>
  <c r="PV4" i="10"/>
  <c r="PX3" i="10" l="1"/>
  <c r="PW4" i="10"/>
  <c r="PX4" i="10" l="1"/>
  <c r="PY3" i="10"/>
  <c r="PZ3" i="10" l="1"/>
  <c r="PY4" i="10"/>
  <c r="QA3" i="10" l="1"/>
  <c r="PZ4" i="10"/>
  <c r="QB3" i="10" l="1"/>
  <c r="QA4" i="10"/>
  <c r="QC3" i="10" l="1"/>
  <c r="QB4" i="10"/>
  <c r="QC4" i="10" l="1"/>
  <c r="QD3" i="10"/>
  <c r="QE3" i="10" l="1"/>
  <c r="QD4" i="10"/>
  <c r="QE4" i="10" l="1"/>
  <c r="QF3" i="10"/>
  <c r="QF4" i="10" l="1"/>
  <c r="QG3" i="10"/>
  <c r="QG4" i="10" l="1"/>
  <c r="QH3" i="10"/>
  <c r="QH4" i="10" l="1"/>
  <c r="QI3" i="10"/>
  <c r="QI4" i="10" l="1"/>
  <c r="QJ3" i="10"/>
  <c r="QJ4" i="10" l="1"/>
  <c r="QK3" i="10"/>
  <c r="QK4" i="10" l="1"/>
  <c r="QL3" i="10"/>
  <c r="QL4" i="10" l="1"/>
  <c r="QM3" i="10"/>
  <c r="QM4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C70693-21FB-4304-B690-83EA521280D1}" keepAlive="1" name="Query - nsw_public_holidays_2026_2027" description="Tilkobling til nsw_public_holidays_2026_2027-spørringen i arbeidsboken." type="5" refreshedVersion="8" background="1" saveData="1">
    <dbPr connection="Provider=Microsoft.Mashup.OleDb.1;Data Source=$Workbook$;Location=nsw_public_holidays_2026_2027;Extended Properties=&quot;&quot;" command="SELECT * FROM [nsw_public_holidays_2026_2027]"/>
  </connection>
</connections>
</file>

<file path=xl/sharedStrings.xml><?xml version="1.0" encoding="utf-8"?>
<sst xmlns="http://schemas.openxmlformats.org/spreadsheetml/2006/main" count="630" uniqueCount="431">
  <si>
    <t>Date</t>
  </si>
  <si>
    <t>Holiday</t>
  </si>
  <si>
    <t>New Year’s Day</t>
  </si>
  <si>
    <t>Australia Day</t>
  </si>
  <si>
    <t>Good Friday</t>
  </si>
  <si>
    <t>Easter Saturday</t>
  </si>
  <si>
    <t>Easter Sunday</t>
  </si>
  <si>
    <t>Easter Monday</t>
  </si>
  <si>
    <t>Anzac Day</t>
  </si>
  <si>
    <t>King’s Birthday</t>
  </si>
  <si>
    <t>Labour Day</t>
  </si>
  <si>
    <t>Christmas Day</t>
  </si>
  <si>
    <t>Boxing Day</t>
  </si>
  <si>
    <t>Additional Day (Substitute)</t>
  </si>
  <si>
    <t>Start date</t>
  </si>
  <si>
    <t>0.0</t>
  </si>
  <si>
    <t>TRG GHS Project</t>
  </si>
  <si>
    <t>WBS (Task ID)</t>
  </si>
  <si>
    <t>Description</t>
  </si>
  <si>
    <t>Duration (days)</t>
  </si>
  <si>
    <t>Start</t>
  </si>
  <si>
    <t>Predecessor</t>
  </si>
  <si>
    <t>Successor</t>
  </si>
  <si>
    <t>1.0</t>
  </si>
  <si>
    <t>Project Initiation</t>
  </si>
  <si>
    <t>-</t>
  </si>
  <si>
    <t>1.1</t>
  </si>
  <si>
    <t>1.1.1</t>
  </si>
  <si>
    <t>1.1.2</t>
  </si>
  <si>
    <t>1.1.3</t>
  </si>
  <si>
    <t>1.1.4</t>
  </si>
  <si>
    <t>1.2 </t>
  </si>
  <si>
    <t>1.2.1</t>
  </si>
  <si>
    <t>1.2.2</t>
  </si>
  <si>
    <t>1.2.3</t>
  </si>
  <si>
    <t>1.2.4</t>
  </si>
  <si>
    <t>1.3</t>
  </si>
  <si>
    <t>1.4</t>
  </si>
  <si>
    <t>2.0 </t>
  </si>
  <si>
    <t>2.1</t>
  </si>
  <si>
    <t>2.1.1</t>
  </si>
  <si>
    <t>2.1.2</t>
  </si>
  <si>
    <t>2.1.3</t>
  </si>
  <si>
    <t>2.2</t>
  </si>
  <si>
    <t>2.2.1</t>
  </si>
  <si>
    <t>2.2.2</t>
  </si>
  <si>
    <t>2.3</t>
  </si>
  <si>
    <t>2.3.1</t>
  </si>
  <si>
    <t>2.3.2</t>
  </si>
  <si>
    <t>2.3.3</t>
  </si>
  <si>
    <t>2.3.4</t>
  </si>
  <si>
    <t>2.4</t>
  </si>
  <si>
    <t>2.5</t>
  </si>
  <si>
    <t>2.6</t>
  </si>
  <si>
    <t>2.7</t>
  </si>
  <si>
    <t>2.8</t>
  </si>
  <si>
    <t>2.8.1</t>
  </si>
  <si>
    <t>2.8.2</t>
  </si>
  <si>
    <t>2.9</t>
  </si>
  <si>
    <t>2.10</t>
  </si>
  <si>
    <t>3.0 </t>
  </si>
  <si>
    <t>3.1 </t>
  </si>
  <si>
    <t>3.1.1</t>
  </si>
  <si>
    <t xml:space="preserve">3.1.2 </t>
  </si>
  <si>
    <t>3.1.3</t>
  </si>
  <si>
    <t>3.1.4</t>
  </si>
  <si>
    <t>3.1.5</t>
  </si>
  <si>
    <t>3.2</t>
  </si>
  <si>
    <t>3.3</t>
  </si>
  <si>
    <t>3.3.1</t>
  </si>
  <si>
    <t>3.3.2</t>
  </si>
  <si>
    <t>3.3.3</t>
  </si>
  <si>
    <t>3.4</t>
  </si>
  <si>
    <t>3.4.1</t>
  </si>
  <si>
    <t>3.4.2</t>
  </si>
  <si>
    <t>3.4.3</t>
  </si>
  <si>
    <t>3.5</t>
  </si>
  <si>
    <t>4.0 </t>
  </si>
  <si>
    <t>4.1 </t>
  </si>
  <si>
    <t>4.1.1</t>
  </si>
  <si>
    <t>4.1.2</t>
  </si>
  <si>
    <t>4.1.3</t>
  </si>
  <si>
    <t>4.2 </t>
  </si>
  <si>
    <t>4.2.1</t>
  </si>
  <si>
    <t>4.2.2</t>
  </si>
  <si>
    <t>4.2.3</t>
  </si>
  <si>
    <t>4.3 </t>
  </si>
  <si>
    <t>4.3.1</t>
  </si>
  <si>
    <t>4.3.2</t>
  </si>
  <si>
    <t>4.3.3</t>
  </si>
  <si>
    <t>4.4 </t>
  </si>
  <si>
    <t>4.4.1</t>
  </si>
  <si>
    <t>4.4.2</t>
  </si>
  <si>
    <t>4.5 </t>
  </si>
  <si>
    <t>4.5.1</t>
  </si>
  <si>
    <t>4.5.2</t>
  </si>
  <si>
    <t>4.5.3</t>
  </si>
  <si>
    <t>4.6</t>
  </si>
  <si>
    <t>5.0 </t>
  </si>
  <si>
    <t>5.1 </t>
  </si>
  <si>
    <t>5.1.1</t>
  </si>
  <si>
    <t>5.1.2</t>
  </si>
  <si>
    <t>5.1.3</t>
  </si>
  <si>
    <t>5.1.4</t>
  </si>
  <si>
    <t>5.2 </t>
  </si>
  <si>
    <t>5.2.1</t>
  </si>
  <si>
    <t>5.2.2</t>
  </si>
  <si>
    <t>5.2.3</t>
  </si>
  <si>
    <t>5.2.4</t>
  </si>
  <si>
    <t>5.3 </t>
  </si>
  <si>
    <t>5.3.1</t>
  </si>
  <si>
    <t>5.3.2</t>
  </si>
  <si>
    <t>5.3.3</t>
  </si>
  <si>
    <t>5.3.4</t>
  </si>
  <si>
    <t>5.4 </t>
  </si>
  <si>
    <t>5.4.1</t>
  </si>
  <si>
    <t>5.4.2</t>
  </si>
  <si>
    <t>5.4.3</t>
  </si>
  <si>
    <t>5.5 </t>
  </si>
  <si>
    <t>5.5.1</t>
  </si>
  <si>
    <t>5.5.2</t>
  </si>
  <si>
    <t>5.5.3</t>
  </si>
  <si>
    <t>5.6 </t>
  </si>
  <si>
    <t>5.6.1</t>
  </si>
  <si>
    <t>5.6.2</t>
  </si>
  <si>
    <t>5.6.3</t>
  </si>
  <si>
    <t>5.7 </t>
  </si>
  <si>
    <t>5.7.1</t>
  </si>
  <si>
    <t>5.7.2</t>
  </si>
  <si>
    <t>5.7.3</t>
  </si>
  <si>
    <t>5.8</t>
  </si>
  <si>
    <t>5.8.1</t>
  </si>
  <si>
    <t>5.8.2</t>
  </si>
  <si>
    <t>5.9</t>
  </si>
  <si>
    <t>6.0 </t>
  </si>
  <si>
    <t>6.1 </t>
  </si>
  <si>
    <t>6.1.1</t>
  </si>
  <si>
    <t>6.1.2</t>
  </si>
  <si>
    <t>6.1.3</t>
  </si>
  <si>
    <t>6.1.4</t>
  </si>
  <si>
    <t>6.2</t>
  </si>
  <si>
    <t>6.2.1</t>
  </si>
  <si>
    <t>6.2.1.1</t>
  </si>
  <si>
    <t>6.2.1.2</t>
  </si>
  <si>
    <t>6.2.1.3</t>
  </si>
  <si>
    <t>6.2.1.4</t>
  </si>
  <si>
    <t>6.2.2</t>
  </si>
  <si>
    <t>6.2.2.1</t>
  </si>
  <si>
    <t>6.2.2.2</t>
  </si>
  <si>
    <t>6.2.2.3</t>
  </si>
  <si>
    <t>6.2.2.4</t>
  </si>
  <si>
    <t>6.2.2.5</t>
  </si>
  <si>
    <t>6.2.3</t>
  </si>
  <si>
    <t>6.2.4</t>
  </si>
  <si>
    <t>6.2.5</t>
  </si>
  <si>
    <t>6.3</t>
  </si>
  <si>
    <t>6.3.1</t>
  </si>
  <si>
    <t>6.3.2</t>
  </si>
  <si>
    <t>6.3.3</t>
  </si>
  <si>
    <t>6.3.4</t>
  </si>
  <si>
    <t>6.4</t>
  </si>
  <si>
    <t>7.0 </t>
  </si>
  <si>
    <t>7.1 </t>
  </si>
  <si>
    <t>7.1.1</t>
  </si>
  <si>
    <t>7.1.2</t>
  </si>
  <si>
    <t>7.1.3</t>
  </si>
  <si>
    <t>7.1.4</t>
  </si>
  <si>
    <t>7.1.5</t>
  </si>
  <si>
    <t>7.2 </t>
  </si>
  <si>
    <t>7.2.1</t>
  </si>
  <si>
    <t>7.2.2</t>
  </si>
  <si>
    <t>7.2.3</t>
  </si>
  <si>
    <t>7.2.4</t>
  </si>
  <si>
    <t>7.2.5</t>
  </si>
  <si>
    <t>7.2.6</t>
  </si>
  <si>
    <t>7.3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</si>
  <si>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</si>
  <si>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</si>
  <si>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</si>
  <si>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</si>
  <si>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</si>
  <si>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</si>
  <si>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</si>
  <si>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</si>
  <si>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</si>
  <si>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</si>
  <si>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</si>
  <si>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</si>
  <si>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7.5</t>
  </si>
  <si>
    <t>7.6</t>
  </si>
  <si>
    <t>7.7</t>
  </si>
  <si>
    <t>8.0 </t>
  </si>
  <si>
    <t>8.1 </t>
  </si>
  <si>
    <t>8.1.1</t>
  </si>
  <si>
    <t>8.2 </t>
  </si>
  <si>
    <t>8.2.1</t>
  </si>
  <si>
    <t>8.2.2</t>
  </si>
  <si>
    <t>8.2.3</t>
  </si>
  <si>
    <t>8.3</t>
  </si>
  <si>
    <t>8.4</t>
  </si>
  <si>
    <t>9.0 </t>
  </si>
  <si>
    <t>9.1 </t>
  </si>
  <si>
    <t>9.1.1</t>
  </si>
  <si>
    <t>9.1.2</t>
  </si>
  <si>
    <t>9.1.3</t>
  </si>
  <si>
    <t>9.1.4</t>
  </si>
  <si>
    <t>9.2 </t>
  </si>
  <si>
    <t>9.2.1</t>
  </si>
  <si>
    <t>9.2.2</t>
  </si>
  <si>
    <t>9.2.3</t>
  </si>
  <si>
    <t>9.2.4</t>
  </si>
  <si>
    <t>9.3 </t>
  </si>
  <si>
    <t>9.3.1</t>
  </si>
  <si>
    <t>9.3.2</t>
  </si>
  <si>
    <t>9.3.3</t>
  </si>
  <si>
    <t>9.3.4</t>
  </si>
  <si>
    <t>9.4</t>
  </si>
  <si>
    <t>Define measurable objectives (MOV)</t>
  </si>
  <si>
    <t>Identify success criteria</t>
  </si>
  <si>
    <t>List internal stakeholders</t>
  </si>
  <si>
    <t>List external stakeholders</t>
  </si>
  <si>
    <t>Assess stakeholder influence and interest</t>
  </si>
  <si>
    <t>Divide project into major deliverables</t>
  </si>
  <si>
    <t>Submit WBS to project sponsor</t>
  </si>
  <si>
    <t>Develop resource-loaded schedule</t>
  </si>
  <si>
    <t>Check ACSC Essential Eight Requirements</t>
  </si>
  <si>
    <t>Check Privacy Act 1988 requirements</t>
  </si>
  <si>
    <t>Define functional test cases</t>
  </si>
  <si>
    <t>Define non-functional test cases</t>
  </si>
  <si>
    <t>Define integration test cases</t>
  </si>
  <si>
    <t>Conduct system testing</t>
  </si>
  <si>
    <t>Execute functional tests</t>
  </si>
  <si>
    <t>Execute non-functional tests</t>
  </si>
  <si>
    <t>Execute integration tests</t>
  </si>
  <si>
    <t>Document test results</t>
  </si>
  <si>
    <t>Fix identified issues</t>
  </si>
  <si>
    <t>Present test results to TRG</t>
  </si>
  <si>
    <t>Prepare UAT scripts</t>
  </si>
  <si>
    <t>Run UAT sessions with TRG staff</t>
  </si>
  <si>
    <t>Define go-live criteria</t>
  </si>
  <si>
    <t>Define data migration steps</t>
  </si>
  <si>
    <t>Configure servers and databases</t>
  </si>
  <si>
    <t>Create training materials</t>
  </si>
  <si>
    <t>Adjust training based on feedback</t>
  </si>
  <si>
    <t>Prepare go-live checklist</t>
  </si>
  <si>
    <t>Provide helpdesk support</t>
  </si>
  <si>
    <t>Monitor system issues weekly</t>
  </si>
  <si>
    <t>Conduct quarterly performance reviews</t>
  </si>
  <si>
    <t>Conduct quarterly security audits</t>
  </si>
  <si>
    <t>Collect user feedback and enhancement requests</t>
  </si>
  <si>
    <t>Prioritise enhancements roadmap</t>
  </si>
  <si>
    <t>Show weekend</t>
  </si>
  <si>
    <t>Colour</t>
  </si>
  <si>
    <t>P</t>
  </si>
  <si>
    <t>R</t>
  </si>
  <si>
    <t>O</t>
  </si>
  <si>
    <t>Cal days</t>
  </si>
  <si>
    <t>M</t>
  </si>
  <si>
    <t>4.5.4</t>
  </si>
  <si>
    <t>Network days</t>
  </si>
  <si>
    <t>Maintenance / Evaluation / Post-Project Support</t>
  </si>
  <si>
    <t>Provide Post-Deployment Support </t>
  </si>
  <si>
    <t>Set up support helpdesk</t>
  </si>
  <si>
    <t>Release minor updates and patches</t>
  </si>
  <si>
    <t>Conduct Periodic Reviews and Audits</t>
  </si>
  <si>
    <t>Address and resolve findings in audits</t>
  </si>
  <si>
    <t>Review backup and recovery procedures</t>
  </si>
  <si>
    <t>Implement Continuous Improvement </t>
  </si>
  <si>
    <t>Implement selected enhancements</t>
  </si>
  <si>
    <t>Review enhancement outcomes</t>
  </si>
  <si>
    <t>Project Closing </t>
  </si>
  <si>
    <t>Handover System to TRG IT </t>
  </si>
  <si>
    <t>Prepare Handover Package</t>
  </si>
  <si>
    <t>Document Lessons Learnt</t>
  </si>
  <si>
    <t>Collect team and stakeholder feedback</t>
  </si>
  <si>
    <t>Consolidate Lessons Learnt</t>
  </si>
  <si>
    <t>Share lessons learned with TRG</t>
  </si>
  <si>
    <t>Archive Project Documentation</t>
  </si>
  <si>
    <t>Deployment </t>
  </si>
  <si>
    <t>Develop Deployment Plan </t>
  </si>
  <si>
    <t>Draft rollout plan</t>
  </si>
  <si>
    <t>Define rollback and contingency plan</t>
  </si>
  <si>
    <t>Review Deployment Plan with Stakeholders</t>
  </si>
  <si>
    <t>Integrate with Legacy Systems and Prepare Environment</t>
  </si>
  <si>
    <t>Identify legacy systems for integration</t>
  </si>
  <si>
    <t>Map data flows between systems</t>
  </si>
  <si>
    <t>Configure APIs and integration</t>
  </si>
  <si>
    <t>Perform security hardening</t>
  </si>
  <si>
    <t>Execute legacy system integration</t>
  </si>
  <si>
    <t>Train TRG Staff and End Users </t>
  </si>
  <si>
    <t>Conduct training sessions</t>
  </si>
  <si>
    <t>Collect training feedback</t>
  </si>
  <si>
    <t>Conduct knowledge transfer workshops</t>
  </si>
  <si>
    <t>Complete Training</t>
  </si>
  <si>
    <t>Execute Go-Live</t>
  </si>
  <si>
    <t>Peform pre go-live checks</t>
  </si>
  <si>
    <t>Launch System Go-Live</t>
  </si>
  <si>
    <t>Monitor system post-launch</t>
  </si>
  <si>
    <t>Complete Transition Plan</t>
  </si>
  <si>
    <t>Post-Go-Live Support (Hypercare)</t>
  </si>
  <si>
    <t>Validate and Review Go-Live Success</t>
  </si>
  <si>
    <t>Testing </t>
  </si>
  <si>
    <t>Develop Test Plan and Cases</t>
  </si>
  <si>
    <t>Review test plan with stakeholders</t>
  </si>
  <si>
    <t>Report Test Results</t>
  </si>
  <si>
    <t>Analyze results</t>
  </si>
  <si>
    <t>Identify software issues</t>
  </si>
  <si>
    <t>Execute Quality Inspections on Test Results</t>
  </si>
  <si>
    <t>Review Test Coverage and Pass Rate</t>
  </si>
  <si>
    <t>Review results with stakeholder</t>
  </si>
  <si>
    <t>Prepare test results report and presentation</t>
  </si>
  <si>
    <t>TRG Sign-off Test Results</t>
  </si>
  <si>
    <t>Conduct User Acceptance Testing (UAT)</t>
  </si>
  <si>
    <t>Apply fixes from UAT feedback</t>
  </si>
  <si>
    <t>UAT Sign-Off</t>
  </si>
  <si>
    <t>Development / Coding </t>
  </si>
  <si>
    <t>Develop Booking and Payment Module </t>
  </si>
  <si>
    <t>Code booking module UI</t>
  </si>
  <si>
    <t>Implement booking backend logic</t>
  </si>
  <si>
    <t>Integrate Payment Gateways</t>
  </si>
  <si>
    <t>Unit Test Payment and Booking</t>
  </si>
  <si>
    <t>Develop Guest Information Management (CRM)</t>
  </si>
  <si>
    <t>Code CRM UI</t>
  </si>
  <si>
    <t>Code CRM backend logic</t>
  </si>
  <si>
    <t>Implement user account managment</t>
  </si>
  <si>
    <t>Unit Test CRM Module</t>
  </si>
  <si>
    <t>Develop Activity Registration Portal </t>
  </si>
  <si>
    <t>Code activity registration UI</t>
  </si>
  <si>
    <t>Code activity backend logic</t>
  </si>
  <si>
    <t xml:space="preserve">Integration Activity Module with CRM </t>
  </si>
  <si>
    <t>Unit Test Activity Portal</t>
  </si>
  <si>
    <t>Develop Merchandise E-Store </t>
  </si>
  <si>
    <t>Build product catalogue</t>
  </si>
  <si>
    <t>Build cart and checkout system</t>
  </si>
  <si>
    <t>Unit Test E-Store Module</t>
  </si>
  <si>
    <t>Develop Sponsorship and Competition </t>
  </si>
  <si>
    <t>Develop sponsor registration</t>
  </si>
  <si>
    <t>Develop competition registration</t>
  </si>
  <si>
    <t>Unit Test Sponsorship and Competition Module</t>
  </si>
  <si>
    <t>Build Security and Compliance Framework </t>
  </si>
  <si>
    <t>Implement encryption</t>
  </si>
  <si>
    <t>Implement access controls</t>
  </si>
  <si>
    <t>Implement data backup</t>
  </si>
  <si>
    <t>Develop Integration APIs </t>
  </si>
  <si>
    <t>Implement API for booking system</t>
  </si>
  <si>
    <t>Implement for payment system</t>
  </si>
  <si>
    <t>Implement API for third-party systems (e.g. booking.com)</t>
  </si>
  <si>
    <t>Code Review and Refactoring</t>
  </si>
  <si>
    <t>Code Review of Design Documents</t>
  </si>
  <si>
    <t>Compliance Benchmark Check (ACSC/Privacy Act)</t>
  </si>
  <si>
    <t>System design </t>
  </si>
  <si>
    <t>Design System Architecture </t>
  </si>
  <si>
    <t>Define server requirements</t>
  </si>
  <si>
    <t>Define database design</t>
  </si>
  <si>
    <t>Define API structure</t>
  </si>
  <si>
    <t>Design Booking and Payment Modules </t>
  </si>
  <si>
    <t>Create booking UI wireframes</t>
  </si>
  <si>
    <t>Create payment gateway workflows</t>
  </si>
  <si>
    <t>Review Booking and Payment Designs</t>
  </si>
  <si>
    <t>Design Event and Activity Modules </t>
  </si>
  <si>
    <t>Create event booking workflows</t>
  </si>
  <si>
    <t>Create childcare and lesson workflows</t>
  </si>
  <si>
    <t>Review Event Module Designs</t>
  </si>
  <si>
    <t>Design Merchandise E-Store </t>
  </si>
  <si>
    <t>Create product catalogue</t>
  </si>
  <si>
    <t>Create checkout workflow</t>
  </si>
  <si>
    <t>Design Data Security and Backup Processes</t>
  </si>
  <si>
    <t>Define encryption methods</t>
  </si>
  <si>
    <t>Define access control model</t>
  </si>
  <si>
    <t>Define backup process</t>
  </si>
  <si>
    <t>Peer Review of Design Documents</t>
  </si>
  <si>
    <t>Requirements Analysis </t>
  </si>
  <si>
    <t>Define Functional Requirements</t>
  </si>
  <si>
    <t>Identify booking module requirements</t>
  </si>
  <si>
    <t>Identify payment module requirements</t>
  </si>
  <si>
    <t>Identify CRM requirements</t>
  </si>
  <si>
    <t>Identify event and activity requirements</t>
  </si>
  <si>
    <t>Identify e-store requirements</t>
  </si>
  <si>
    <t>Define Non-Functional Requirements</t>
  </si>
  <si>
    <t>Document User Stories </t>
  </si>
  <si>
    <t>Write staff user stories</t>
  </si>
  <si>
    <t>Write guest user stories</t>
  </si>
  <si>
    <t>Validate User Stories With Stakeholders</t>
  </si>
  <si>
    <t>Conduct Compliance Requirement Analysis </t>
  </si>
  <si>
    <t>Consolidate Compliance Report</t>
  </si>
  <si>
    <t>Project Planning </t>
  </si>
  <si>
    <t xml:space="preserve"> Complete WBS</t>
  </si>
  <si>
    <t>Develop Project Schedule </t>
  </si>
  <si>
    <t>Create Gantt chart</t>
  </si>
  <si>
    <t>Create network diagrams</t>
  </si>
  <si>
    <t>Prepare Project Budget </t>
  </si>
  <si>
    <t xml:space="preserve">Conduct bottom-up estimation </t>
  </si>
  <si>
    <t>Add indirect costs and summarise budget</t>
  </si>
  <si>
    <t>Finalise Budget as "Cost Baseline"</t>
  </si>
  <si>
    <t>Define Change Control Methodology</t>
  </si>
  <si>
    <t>Define Constraints, Assumptions and Risks</t>
  </si>
  <si>
    <t>Create Risk Management Plan</t>
  </si>
  <si>
    <t>Develop Communications Plan</t>
  </si>
  <si>
    <t>Develop Quality Management Plan </t>
  </si>
  <si>
    <t>Define Quality Objectives</t>
  </si>
  <si>
    <t>Identify Quality Metrics</t>
  </si>
  <si>
    <t>Develop Procurement Plan</t>
  </si>
  <si>
    <t>Develop Project Charter</t>
  </si>
  <si>
    <t>Define project purpose</t>
  </si>
  <si>
    <t>Define high-level scope</t>
  </si>
  <si>
    <t>Identify stakeholders </t>
  </si>
  <si>
    <t>Document stakeholder roles and responsibilities</t>
  </si>
  <si>
    <t>Obtain Sponsor Approval to Begin Planning</t>
  </si>
  <si>
    <r>
      <rPr>
        <b/>
        <sz val="12"/>
        <color theme="1"/>
        <rFont val="Calibri"/>
        <family val="2"/>
        <scheme val="minor"/>
      </rPr>
      <t>Milestone:</t>
    </r>
    <r>
      <rPr>
        <sz val="12"/>
        <color theme="1"/>
        <rFont val="Calibri"/>
        <family val="2"/>
        <scheme val="minor"/>
      </rPr>
      <t xml:space="preserve"> Project Initiated</t>
    </r>
  </si>
  <si>
    <r>
      <rPr>
        <b/>
        <sz val="12"/>
        <color theme="1"/>
        <rFont val="Calibri"/>
        <family val="2"/>
        <scheme val="minor"/>
      </rPr>
      <t>Milestone:</t>
    </r>
    <r>
      <rPr>
        <sz val="12"/>
        <color theme="1"/>
        <rFont val="Calibri"/>
        <family val="2"/>
        <scheme val="minor"/>
      </rPr>
      <t xml:space="preserve"> Project Plan Approved</t>
    </r>
  </si>
  <si>
    <r>
      <rPr>
        <b/>
        <sz val="12"/>
        <color theme="1"/>
        <rFont val="Calibri"/>
        <family val="2"/>
        <scheme val="minor"/>
      </rPr>
      <t xml:space="preserve">Milestone: </t>
    </r>
    <r>
      <rPr>
        <sz val="12"/>
        <color theme="1"/>
        <rFont val="Calibri"/>
        <family val="2"/>
        <scheme val="minor"/>
      </rPr>
      <t>Requirements Approved</t>
    </r>
  </si>
  <si>
    <r>
      <rPr>
        <b/>
        <sz val="12"/>
        <color theme="1"/>
        <rFont val="Calibri"/>
        <family val="2"/>
        <scheme val="minor"/>
      </rPr>
      <t>Milestone:</t>
    </r>
    <r>
      <rPr>
        <sz val="12"/>
        <color theme="1"/>
        <rFont val="Calibri"/>
        <family val="2"/>
        <scheme val="minor"/>
      </rPr>
      <t xml:space="preserve"> System Design Complete</t>
    </r>
  </si>
  <si>
    <r>
      <rPr>
        <b/>
        <sz val="12"/>
        <color theme="1"/>
        <rFont val="Calibri"/>
        <family val="2"/>
        <scheme val="minor"/>
      </rPr>
      <t>Milestone:</t>
    </r>
    <r>
      <rPr>
        <sz val="12"/>
        <color theme="1"/>
        <rFont val="Calibri"/>
        <family val="2"/>
        <scheme val="minor"/>
      </rPr>
      <t xml:space="preserve"> Prototype Complete</t>
    </r>
  </si>
  <si>
    <r>
      <rPr>
        <b/>
        <sz val="12"/>
        <color theme="1"/>
        <rFont val="Calibri"/>
        <family val="2"/>
        <scheme val="minor"/>
      </rPr>
      <t>Milestone:</t>
    </r>
    <r>
      <rPr>
        <sz val="12"/>
        <color theme="1"/>
        <rFont val="Calibri"/>
        <family val="2"/>
        <scheme val="minor"/>
      </rPr>
      <t xml:space="preserve"> Testing Complete </t>
    </r>
  </si>
  <si>
    <r>
      <rPr>
        <b/>
        <sz val="12"/>
        <color theme="1"/>
        <rFont val="Calibri"/>
        <family val="2"/>
        <scheme val="minor"/>
      </rPr>
      <t>Milestone:</t>
    </r>
    <r>
      <rPr>
        <sz val="12"/>
        <color theme="1"/>
        <rFont val="Calibri"/>
        <family val="2"/>
        <scheme val="minor"/>
      </rPr>
      <t xml:space="preserve"> System Deployed</t>
    </r>
  </si>
  <si>
    <r>
      <rPr>
        <b/>
        <sz val="12"/>
        <color theme="1"/>
        <rFont val="Calibri"/>
        <family val="2"/>
        <scheme val="minor"/>
      </rPr>
      <t>Milestone:</t>
    </r>
    <r>
      <rPr>
        <sz val="12"/>
        <color theme="1"/>
        <rFont val="Calibri"/>
        <family val="2"/>
        <scheme val="minor"/>
      </rPr>
      <t xml:space="preserve"> Project Closure </t>
    </r>
  </si>
  <si>
    <r>
      <rPr>
        <b/>
        <sz val="12"/>
        <color theme="1"/>
        <rFont val="Calibri"/>
        <family val="2"/>
        <scheme val="minor"/>
      </rPr>
      <t>Milestone:</t>
    </r>
    <r>
      <rPr>
        <sz val="12"/>
        <color theme="1"/>
        <rFont val="Calibri"/>
        <family val="2"/>
        <scheme val="minor"/>
      </rPr>
      <t xml:space="preserve"> Post-Project Review Complete</t>
    </r>
  </si>
  <si>
    <t>G</t>
  </si>
  <si>
    <t>Week</t>
  </si>
  <si>
    <t>TRG GHS Project Gantt Chart</t>
  </si>
  <si>
    <t>End date</t>
  </si>
  <si>
    <t>Weekly</t>
  </si>
  <si>
    <t>Display period</t>
  </si>
  <si>
    <t>Display type</t>
  </si>
  <si>
    <r>
      <rPr>
        <b/>
        <sz val="9"/>
        <color theme="9" tint="-0.249977111117893"/>
        <rFont val="Calibri"/>
        <family val="2"/>
        <scheme val="minor"/>
      </rPr>
      <t>Phase</t>
    </r>
    <r>
      <rPr>
        <b/>
        <sz val="9"/>
        <color theme="9"/>
        <rFont val="Calibri"/>
        <family val="2"/>
        <scheme val="minor"/>
      </rPr>
      <t xml:space="preserve">
</t>
    </r>
    <r>
      <rPr>
        <b/>
        <sz val="9"/>
        <color rgb="FF9966FF"/>
        <rFont val="Calibri"/>
        <family val="2"/>
        <scheme val="minor"/>
      </rPr>
      <t xml:space="preserve">Overhead task
</t>
    </r>
    <r>
      <rPr>
        <b/>
        <sz val="9"/>
        <color rgb="FF33CCFF"/>
        <rFont val="Calibri"/>
        <family val="2"/>
        <scheme val="minor"/>
      </rPr>
      <t xml:space="preserve">Subtask
</t>
    </r>
    <r>
      <rPr>
        <b/>
        <sz val="9"/>
        <color rgb="FF990099"/>
        <rFont val="Calibri"/>
        <family val="2"/>
        <scheme val="minor"/>
      </rPr>
      <t>Subtask</t>
    </r>
    <r>
      <rPr>
        <b/>
        <sz val="9"/>
        <color theme="1"/>
        <rFont val="Calibri"/>
        <family val="2"/>
        <scheme val="minor"/>
      </rPr>
      <t xml:space="preserve">
</t>
    </r>
    <r>
      <rPr>
        <b/>
        <sz val="9"/>
        <color rgb="FFFF99FF"/>
        <rFont val="Calibri"/>
        <family val="2"/>
        <scheme val="minor"/>
      </rPr>
      <t>Milestone</t>
    </r>
  </si>
  <si>
    <t>End</t>
  </si>
  <si>
    <t>Critical</t>
  </si>
  <si>
    <t>Total weeks</t>
  </si>
  <si>
    <t>Total estimated  duration (critical path)</t>
  </si>
  <si>
    <t>Legend bars</t>
  </si>
  <si>
    <t>Create Work Breakdown Structure (WBS)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</si>
</sst>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[$-C09]dd\-mmm\-yy;@"/>
  </numFmts>
  <fonts count="2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0"/>
      <color rgb="FF00000A"/>
      <name val="Arial"/>
      <family val="2"/>
    </font>
    <font>
      <b/>
      <sz val="10"/>
      <color rgb="FF00000A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i/>
      <sz val="10"/>
      <color rgb="FF00000A"/>
      <name val="Arial"/>
      <family val="2"/>
    </font>
    <font>
      <i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b/>
      <sz val="9"/>
      <color theme="9"/>
      <name val="Calibri"/>
      <family val="2"/>
      <scheme val="minor"/>
    </font>
    <font>
      <b/>
      <sz val="9"/>
      <color rgb="FF9966FF"/>
      <name val="Calibri"/>
      <family val="2"/>
      <scheme val="minor"/>
    </font>
    <font>
      <b/>
      <sz val="9"/>
      <color rgb="FF33CCFF"/>
      <name val="Calibri"/>
      <family val="2"/>
      <scheme val="minor"/>
    </font>
    <font>
      <b/>
      <sz val="9"/>
      <color rgb="FF990099"/>
      <name val="Calibri"/>
      <family val="2"/>
      <scheme val="minor"/>
    </font>
    <font>
      <b/>
      <sz val="9"/>
      <color rgb="FFFF99FF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</borders>
  <cellStyleXfs count="3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0" fontId="3" fillId="2" borderId="0" xfId="0" applyFont="1" applyFill="1"/>
    <xf numFmtId="0" fontId="6" fillId="2" borderId="0" xfId="0" applyFont="1" applyFill="1" applyAlignment="1">
      <alignment horizontal="left" vertical="center" wrapText="1"/>
    </xf>
    <xf numFmtId="0" fontId="0" fillId="0" borderId="0" xfId="0" quotePrefix="1" applyAlignment="1">
      <alignment horizontal="right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left" indent="2"/>
    </xf>
    <xf numFmtId="0" fontId="5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horizontal="left" vertical="center" indent="2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 indent="2"/>
    </xf>
    <xf numFmtId="49" fontId="5" fillId="0" borderId="0" xfId="0" applyNumberFormat="1" applyFont="1" applyAlignment="1">
      <alignment horizontal="left" vertical="center" wrapText="1" indent="2"/>
    </xf>
    <xf numFmtId="0" fontId="13" fillId="0" borderId="0" xfId="0" applyFont="1" applyAlignment="1">
      <alignment horizontal="left" vertical="center" wrapText="1" indent="3"/>
    </xf>
    <xf numFmtId="0" fontId="14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right"/>
    </xf>
    <xf numFmtId="0" fontId="12" fillId="4" borderId="0" xfId="0" applyFont="1" applyFill="1"/>
    <xf numFmtId="0" fontId="0" fillId="0" borderId="0" xfId="0" applyAlignment="1">
      <alignment horizontal="center" vertical="center"/>
    </xf>
    <xf numFmtId="164" fontId="0" fillId="0" borderId="0" xfId="0" applyNumberFormat="1"/>
    <xf numFmtId="165" fontId="15" fillId="4" borderId="0" xfId="0" applyNumberFormat="1" applyFont="1" applyFill="1" applyAlignment="1">
      <alignment horizontal="center" vertical="center" shrinkToFit="1"/>
    </xf>
    <xf numFmtId="165" fontId="15" fillId="7" borderId="5" xfId="0" applyNumberFormat="1" applyFont="1" applyFill="1" applyBorder="1" applyAlignment="1">
      <alignment horizontal="center" vertical="center" textRotation="90" shrinkToFit="1"/>
    </xf>
    <xf numFmtId="165" fontId="15" fillId="7" borderId="0" xfId="0" applyNumberFormat="1" applyFont="1" applyFill="1" applyAlignment="1">
      <alignment horizontal="center" vertical="center" textRotation="90" shrinkToFi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0" fillId="8" borderId="0" xfId="0" applyFill="1"/>
    <xf numFmtId="0" fontId="3" fillId="2" borderId="0" xfId="0" applyFont="1" applyFill="1" applyAlignment="1">
      <alignment wrapText="1"/>
    </xf>
    <xf numFmtId="0" fontId="10" fillId="8" borderId="0" xfId="0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wrapText="1" indent="1"/>
    </xf>
    <xf numFmtId="49" fontId="5" fillId="8" borderId="0" xfId="0" applyNumberFormat="1" applyFont="1" applyFill="1" applyAlignment="1">
      <alignment horizontal="left" vertical="center" wrapText="1" indent="1"/>
    </xf>
    <xf numFmtId="0" fontId="0" fillId="9" borderId="0" xfId="0" applyFill="1"/>
    <xf numFmtId="165" fontId="15" fillId="9" borderId="0" xfId="0" applyNumberFormat="1" applyFont="1" applyFill="1" applyAlignment="1">
      <alignment horizontal="center" vertical="center" textRotation="90" shrinkToFit="1"/>
    </xf>
    <xf numFmtId="165" fontId="15" fillId="9" borderId="0" xfId="0" applyNumberFormat="1" applyFont="1" applyFill="1" applyAlignment="1">
      <alignment horizontal="center" vertical="center" shrinkToFit="1"/>
    </xf>
    <xf numFmtId="0" fontId="0" fillId="9" borderId="0" xfId="0" applyFill="1" applyAlignment="1">
      <alignment horizontal="right"/>
    </xf>
    <xf numFmtId="0" fontId="12" fillId="0" borderId="0" xfId="0" applyFont="1" applyAlignment="1">
      <alignment horizontal="left" vertical="center"/>
    </xf>
    <xf numFmtId="14" fontId="17" fillId="0" borderId="0" xfId="0" applyNumberFormat="1" applyFont="1" applyAlignment="1">
      <alignment vertical="center"/>
    </xf>
    <xf numFmtId="14" fontId="0" fillId="0" borderId="0" xfId="0" applyNumberFormat="1" applyAlignment="1">
      <alignment wrapText="1"/>
    </xf>
    <xf numFmtId="165" fontId="15" fillId="4" borderId="5" xfId="0" applyNumberFormat="1" applyFont="1" applyFill="1" applyBorder="1" applyAlignment="1">
      <alignment horizontal="center" vertical="center" shrinkToFit="1"/>
    </xf>
    <xf numFmtId="14" fontId="19" fillId="0" borderId="0" xfId="0" applyNumberFormat="1" applyFont="1" applyAlignment="1">
      <alignment vertical="center" wrapText="1"/>
    </xf>
    <xf numFmtId="0" fontId="0" fillId="10" borderId="0" xfId="0" applyFill="1"/>
    <xf numFmtId="0" fontId="0" fillId="10" borderId="2" xfId="0" quotePrefix="1" applyFill="1" applyBorder="1" applyAlignment="1">
      <alignment horizontal="right"/>
    </xf>
    <xf numFmtId="1" fontId="0" fillId="0" borderId="0" xfId="0" applyNumberFormat="1"/>
    <xf numFmtId="14" fontId="18" fillId="0" borderId="0" xfId="0" applyNumberFormat="1" applyFont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horizontal="right"/>
    </xf>
    <xf numFmtId="14" fontId="26" fillId="3" borderId="0" xfId="0" applyNumberFormat="1" applyFont="1" applyFill="1"/>
    <xf numFmtId="14" fontId="12" fillId="0" borderId="0" xfId="0" applyNumberFormat="1" applyFont="1"/>
    <xf numFmtId="14" fontId="26" fillId="3" borderId="0" xfId="0" applyNumberFormat="1" applyFont="1" applyFill="1" applyAlignment="1">
      <alignment wrapText="1"/>
    </xf>
    <xf numFmtId="0" fontId="26" fillId="3" borderId="0" xfId="0" applyFont="1" applyFill="1"/>
    <xf numFmtId="0" fontId="12" fillId="5" borderId="0" xfId="0" applyFont="1" applyFill="1"/>
    <xf numFmtId="0" fontId="12" fillId="6" borderId="0" xfId="0" applyFont="1" applyFill="1"/>
    <xf numFmtId="0" fontId="27" fillId="0" borderId="0" xfId="0" quotePrefix="1" applyFont="1" applyAlignment="1">
      <alignment horizontal="right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right" vertical="center" wrapText="1"/>
    </xf>
    <xf numFmtId="0" fontId="27" fillId="0" borderId="0" xfId="0" applyFont="1"/>
    <xf numFmtId="0" fontId="12" fillId="0" borderId="7" xfId="0" quotePrefix="1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0" fontId="26" fillId="0" borderId="7" xfId="0" applyFont="1" applyBorder="1" applyAlignment="1">
      <alignment horizontal="right"/>
    </xf>
    <xf numFmtId="0" fontId="12" fillId="0" borderId="0" xfId="0" quotePrefix="1" applyFont="1" applyAlignment="1">
      <alignment horizontal="right"/>
    </xf>
    <xf numFmtId="49" fontId="12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7" fillId="0" borderId="0" xfId="0" applyNumberFormat="1" applyFont="1" applyAlignment="1">
      <alignment horizontal="center" vertical="center" wrapText="1"/>
    </xf>
    <xf numFmtId="0" fontId="0" fillId="0" borderId="0" xfId="0" quotePrefix="1" applyAlignment="1">
      <alignment horizontal="center"/>
    </xf>
    <xf numFmtId="1" fontId="0" fillId="0" borderId="5" xfId="0" applyNumberFormat="1" applyBorder="1" applyAlignment="1">
      <alignment horizontal="center"/>
    </xf>
  </cellXfs>
  <cellStyles count="30">
    <cellStyle name="Followed Hyperlink" xfId="28" builtinId="9" hidden="1"/>
    <cellStyle name="Followed Hyperlink" xfId="6" builtinId="9" hidden="1"/>
    <cellStyle name="Followed Hyperlink" xfId="16" builtinId="9" hidden="1"/>
    <cellStyle name="Followed Hyperlink" xfId="20" builtinId="9" hidden="1"/>
    <cellStyle name="Followed Hyperlink" xfId="24" builtinId="9" hidden="1"/>
    <cellStyle name="Followed Hyperlink" xfId="8" builtinId="9" hidden="1"/>
    <cellStyle name="Followed Hyperlink" xfId="26" builtinId="9" hidden="1"/>
    <cellStyle name="Followed Hyperlink" xfId="22" builtinId="9" hidden="1"/>
    <cellStyle name="Followed Hyperlink" xfId="18" builtinId="9" hidden="1"/>
    <cellStyle name="Followed Hyperlink" xfId="2" builtinId="9" hidden="1"/>
    <cellStyle name="Followed Hyperlink" xfId="4" builtinId="9" hidden="1"/>
    <cellStyle name="Followed Hyperlink" xfId="14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5" builtinId="8" hidden="1"/>
    <cellStyle name="Hyperlink" xfId="25" builtinId="8" hidden="1"/>
    <cellStyle name="Hyperlink" xfId="13" builtinId="8" hidden="1"/>
    <cellStyle name="Hyperlink" xfId="21" builtinId="8" hidden="1"/>
    <cellStyle name="Hyperlink" xfId="11" builtinId="8" hidden="1"/>
    <cellStyle name="Hyperlink" xfId="17" builtinId="8" hidden="1"/>
    <cellStyle name="Hyperlink" xfId="27" builtinId="8" hidden="1"/>
    <cellStyle name="Hyperlink" xfId="15" builtinId="8" hidden="1"/>
    <cellStyle name="Hyperlink" xfId="7" builtinId="8" hidden="1"/>
    <cellStyle name="Hyperlink" xfId="9" builtinId="8" hidden="1"/>
    <cellStyle name="Hyperlink" xfId="19" builtinId="8" hidden="1"/>
    <cellStyle name="Hyperlink" xfId="3" builtinId="8" hidden="1"/>
    <cellStyle name="Hyperlink" xfId="23" builtinId="8" hidden="1"/>
    <cellStyle name="Hyperlink" xfId="29" xr:uid="{00000000-000B-0000-0000-000008000000}"/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ill>
        <patternFill>
          <bgColor rgb="FF9966FF"/>
        </patternFill>
      </fill>
      <border>
        <left/>
        <right/>
        <top/>
        <bottom/>
      </border>
    </dxf>
    <dxf>
      <fill>
        <patternFill>
          <bgColor rgb="FF990099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rgb="FF33CCFF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rgb="FFFF9933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darkGray">
          <fgColor rgb="FFFF99FF"/>
          <bgColor rgb="FFFF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</border>
    </dxf>
    <dxf>
      <fill>
        <patternFill patternType="lightUp">
          <bgColor theme="8" tint="0.79998168889431442"/>
        </patternFill>
      </fill>
    </dxf>
    <dxf>
      <fill>
        <patternFill>
          <bgColor rgb="FF9966FF"/>
        </patternFill>
      </fill>
      <border>
        <left/>
        <right/>
        <top/>
        <bottom/>
      </border>
    </dxf>
    <dxf>
      <fill>
        <patternFill>
          <bgColor rgb="FF990099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rgb="FF33CCFF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rgb="FFFF9933"/>
        </patternFill>
      </fill>
      <border>
        <left/>
        <right/>
        <top style="thin">
          <color auto="1"/>
        </top>
        <bottom style="thin">
          <color auto="1"/>
        </bottom>
      </border>
    </dxf>
    <dxf>
      <fill>
        <patternFill patternType="darkGray">
          <fgColor rgb="FFFF99FF"/>
          <bgColor rgb="FFFF99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</border>
    </dxf>
    <dxf>
      <fill>
        <patternFill patternType="lightUp">
          <bgColor theme="8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166" formatCode="d/mm/yyyy"/>
    </dxf>
    <dxf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</font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0" formatCode="General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auto="1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auto="1"/>
      </font>
    </dxf>
    <dxf>
      <numFmt numFmtId="0" formatCode="General"/>
      <alignment textRotation="0" justifyLastLine="0" shrinkToFit="0" readingOrder="0"/>
    </dxf>
    <dxf>
      <border outline="0">
        <top style="medium">
          <color auto="1"/>
        </top>
      </border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</dxfs>
  <tableStyles count="0" defaultTableStyle="TableStyleMedium9" defaultPivotStyle="PivotStyleMedium4"/>
  <colors>
    <mruColors>
      <color rgb="FFFF99FF"/>
      <color rgb="FFFF66FF"/>
      <color rgb="FF9966FF"/>
      <color rgb="FF990099"/>
      <color rgb="FF33CCFF"/>
      <color rgb="FFFF9933"/>
      <color rgb="FFCC99FF"/>
      <color rgb="FF66FFFF"/>
      <color rgb="FF8EBD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fmlaLink="show_weeken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2</xdr:row>
          <xdr:rowOff>279400</xdr:rowOff>
        </xdr:from>
        <xdr:to>
          <xdr:col>6</xdr:col>
          <xdr:colOff>1371600</xdr:colOff>
          <xdr:row>2</xdr:row>
          <xdr:rowOff>520700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99FF" mc:Ignorable="a14" a14:legacySpreadsheetColorIndex="4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A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weekend</a:t>
              </a:r>
            </a:p>
          </xdr:txBody>
        </xdr:sp>
        <xdr:clientData/>
      </xdr:twoCellAnchor>
    </mc:Choice>
    <mc:Fallback/>
  </mc:AlternateContent>
  <xdr:twoCellAnchor>
    <xdr:from>
      <xdr:col>14</xdr:col>
      <xdr:colOff>7937</xdr:colOff>
      <xdr:row>9</xdr:row>
      <xdr:rowOff>63502</xdr:rowOff>
    </xdr:from>
    <xdr:to>
      <xdr:col>15</xdr:col>
      <xdr:colOff>0</xdr:colOff>
      <xdr:row>10</xdr:row>
      <xdr:rowOff>0</xdr:rowOff>
    </xdr:to>
    <xdr:sp macro="" textlink="">
      <xdr:nvSpPr>
        <xdr:cNvPr id="45" name="Arrow: Bent 44">
          <a:extLst>
            <a:ext uri="{FF2B5EF4-FFF2-40B4-BE49-F238E27FC236}">
              <a16:creationId xmlns:a16="http://schemas.microsoft.com/office/drawing/2014/main" id="{EEA36B13-2C2E-CA64-473D-A0925E626D0C}"/>
            </a:ext>
          </a:extLst>
        </xdr:cNvPr>
        <xdr:cNvSpPr/>
      </xdr:nvSpPr>
      <xdr:spPr>
        <a:xfrm rot="5400000">
          <a:off x="11799095" y="281384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166686</xdr:colOff>
      <xdr:row>10</xdr:row>
      <xdr:rowOff>63502</xdr:rowOff>
    </xdr:from>
    <xdr:to>
      <xdr:col>16</xdr:col>
      <xdr:colOff>158750</xdr:colOff>
      <xdr:row>11</xdr:row>
      <xdr:rowOff>1</xdr:rowOff>
    </xdr:to>
    <xdr:sp macro="" textlink="">
      <xdr:nvSpPr>
        <xdr:cNvPr id="47" name="Arrow: Bent 46">
          <a:extLst>
            <a:ext uri="{FF2B5EF4-FFF2-40B4-BE49-F238E27FC236}">
              <a16:creationId xmlns:a16="http://schemas.microsoft.com/office/drawing/2014/main" id="{39E3E6CA-2FDC-47B9-BBE3-786C10ABB2C8}"/>
            </a:ext>
          </a:extLst>
        </xdr:cNvPr>
        <xdr:cNvSpPr/>
      </xdr:nvSpPr>
      <xdr:spPr>
        <a:xfrm rot="5400000">
          <a:off x="12124532" y="3012282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0</xdr:colOff>
      <xdr:row>11</xdr:row>
      <xdr:rowOff>63502</xdr:rowOff>
    </xdr:from>
    <xdr:to>
      <xdr:col>19</xdr:col>
      <xdr:colOff>158751</xdr:colOff>
      <xdr:row>12</xdr:row>
      <xdr:rowOff>0</xdr:rowOff>
    </xdr:to>
    <xdr:sp macro="" textlink="">
      <xdr:nvSpPr>
        <xdr:cNvPr id="48" name="Arrow: Bent 47">
          <a:extLst>
            <a:ext uri="{FF2B5EF4-FFF2-40B4-BE49-F238E27FC236}">
              <a16:creationId xmlns:a16="http://schemas.microsoft.com/office/drawing/2014/main" id="{876A4CF5-5B79-4A1C-99BD-F0C1338D6427}"/>
            </a:ext>
          </a:extLst>
        </xdr:cNvPr>
        <xdr:cNvSpPr/>
      </xdr:nvSpPr>
      <xdr:spPr>
        <a:xfrm rot="5400000">
          <a:off x="12624596" y="321071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0</xdr:colOff>
      <xdr:row>12</xdr:row>
      <xdr:rowOff>63501</xdr:rowOff>
    </xdr:from>
    <xdr:to>
      <xdr:col>23</xdr:col>
      <xdr:colOff>15874</xdr:colOff>
      <xdr:row>13</xdr:row>
      <xdr:rowOff>7941</xdr:rowOff>
    </xdr:to>
    <xdr:sp macro="" textlink="">
      <xdr:nvSpPr>
        <xdr:cNvPr id="49" name="Arrow: Bent 48">
          <a:extLst>
            <a:ext uri="{FF2B5EF4-FFF2-40B4-BE49-F238E27FC236}">
              <a16:creationId xmlns:a16="http://schemas.microsoft.com/office/drawing/2014/main" id="{6D19421E-B496-47A8-A8B4-8F25019E9888}"/>
            </a:ext>
          </a:extLst>
        </xdr:cNvPr>
        <xdr:cNvSpPr/>
      </xdr:nvSpPr>
      <xdr:spPr>
        <a:xfrm rot="5400000">
          <a:off x="13132592" y="3401222"/>
          <a:ext cx="142877" cy="182562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7936</xdr:colOff>
      <xdr:row>15</xdr:row>
      <xdr:rowOff>0</xdr:rowOff>
    </xdr:from>
    <xdr:to>
      <xdr:col>25</xdr:col>
      <xdr:colOff>-1</xdr:colOff>
      <xdr:row>16</xdr:row>
      <xdr:rowOff>1</xdr:rowOff>
    </xdr:to>
    <xdr:sp macro="" textlink="">
      <xdr:nvSpPr>
        <xdr:cNvPr id="50" name="Arrow: Bent 49">
          <a:extLst>
            <a:ext uri="{FF2B5EF4-FFF2-40B4-BE49-F238E27FC236}">
              <a16:creationId xmlns:a16="http://schemas.microsoft.com/office/drawing/2014/main" id="{9F8E8F91-5184-4C37-99E9-554E4A242792}"/>
            </a:ext>
          </a:extLst>
        </xdr:cNvPr>
        <xdr:cNvSpPr/>
      </xdr:nvSpPr>
      <xdr:spPr>
        <a:xfrm rot="5400000">
          <a:off x="13434217" y="3972719"/>
          <a:ext cx="198439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0</xdr:colOff>
      <xdr:row>16</xdr:row>
      <xdr:rowOff>63501</xdr:rowOff>
    </xdr:from>
    <xdr:to>
      <xdr:col>26</xdr:col>
      <xdr:colOff>158751</xdr:colOff>
      <xdr:row>17</xdr:row>
      <xdr:rowOff>0</xdr:rowOff>
    </xdr:to>
    <xdr:sp macro="" textlink="">
      <xdr:nvSpPr>
        <xdr:cNvPr id="51" name="Arrow: Bent 50">
          <a:extLst>
            <a:ext uri="{FF2B5EF4-FFF2-40B4-BE49-F238E27FC236}">
              <a16:creationId xmlns:a16="http://schemas.microsoft.com/office/drawing/2014/main" id="{AFB75D36-2B69-42A1-B504-1C590AFD31AE}"/>
            </a:ext>
          </a:extLst>
        </xdr:cNvPr>
        <xdr:cNvSpPr/>
      </xdr:nvSpPr>
      <xdr:spPr>
        <a:xfrm rot="5400000">
          <a:off x="13791408" y="420290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0</xdr:colOff>
      <xdr:row>17</xdr:row>
      <xdr:rowOff>63502</xdr:rowOff>
    </xdr:from>
    <xdr:to>
      <xdr:col>28</xdr:col>
      <xdr:colOff>158751</xdr:colOff>
      <xdr:row>18</xdr:row>
      <xdr:rowOff>0</xdr:rowOff>
    </xdr:to>
    <xdr:sp macro="" textlink="">
      <xdr:nvSpPr>
        <xdr:cNvPr id="52" name="Arrow: Bent 51">
          <a:extLst>
            <a:ext uri="{FF2B5EF4-FFF2-40B4-BE49-F238E27FC236}">
              <a16:creationId xmlns:a16="http://schemas.microsoft.com/office/drawing/2014/main" id="{8326315F-9B90-4242-9D3B-947DA9CE890E}"/>
            </a:ext>
          </a:extLst>
        </xdr:cNvPr>
        <xdr:cNvSpPr/>
      </xdr:nvSpPr>
      <xdr:spPr>
        <a:xfrm rot="5400000">
          <a:off x="14124783" y="440134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0</xdr:colOff>
      <xdr:row>19</xdr:row>
      <xdr:rowOff>39688</xdr:rowOff>
    </xdr:from>
    <xdr:to>
      <xdr:col>32</xdr:col>
      <xdr:colOff>158750</xdr:colOff>
      <xdr:row>20</xdr:row>
      <xdr:rowOff>23814</xdr:rowOff>
    </xdr:to>
    <xdr:sp macro="" textlink="">
      <xdr:nvSpPr>
        <xdr:cNvPr id="53" name="Arrow: Bent 52">
          <a:extLst>
            <a:ext uri="{FF2B5EF4-FFF2-40B4-BE49-F238E27FC236}">
              <a16:creationId xmlns:a16="http://schemas.microsoft.com/office/drawing/2014/main" id="{314E13AB-1BCF-43CF-ABBC-2F0869D352FD}"/>
            </a:ext>
          </a:extLst>
        </xdr:cNvPr>
        <xdr:cNvSpPr/>
      </xdr:nvSpPr>
      <xdr:spPr>
        <a:xfrm rot="5400000">
          <a:off x="14716006" y="4392637"/>
          <a:ext cx="183156" cy="158750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0</xdr:colOff>
      <xdr:row>22</xdr:row>
      <xdr:rowOff>63501</xdr:rowOff>
    </xdr:from>
    <xdr:to>
      <xdr:col>35</xdr:col>
      <xdr:colOff>158751</xdr:colOff>
      <xdr:row>23</xdr:row>
      <xdr:rowOff>0</xdr:rowOff>
    </xdr:to>
    <xdr:sp macro="" textlink="">
      <xdr:nvSpPr>
        <xdr:cNvPr id="54" name="Arrow: Bent 53">
          <a:extLst>
            <a:ext uri="{FF2B5EF4-FFF2-40B4-BE49-F238E27FC236}">
              <a16:creationId xmlns:a16="http://schemas.microsoft.com/office/drawing/2014/main" id="{C729E44D-B770-4840-881D-5287EB3D7416}"/>
            </a:ext>
          </a:extLst>
        </xdr:cNvPr>
        <xdr:cNvSpPr/>
      </xdr:nvSpPr>
      <xdr:spPr>
        <a:xfrm rot="5400000">
          <a:off x="15291596" y="539353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0</xdr:colOff>
      <xdr:row>23</xdr:row>
      <xdr:rowOff>63502</xdr:rowOff>
    </xdr:from>
    <xdr:to>
      <xdr:col>37</xdr:col>
      <xdr:colOff>158751</xdr:colOff>
      <xdr:row>24</xdr:row>
      <xdr:rowOff>0</xdr:rowOff>
    </xdr:to>
    <xdr:sp macro="" textlink="">
      <xdr:nvSpPr>
        <xdr:cNvPr id="55" name="Arrow: Bent 54">
          <a:extLst>
            <a:ext uri="{FF2B5EF4-FFF2-40B4-BE49-F238E27FC236}">
              <a16:creationId xmlns:a16="http://schemas.microsoft.com/office/drawing/2014/main" id="{2963343B-3B2F-42EA-82EA-808B7BFB2B60}"/>
            </a:ext>
          </a:extLst>
        </xdr:cNvPr>
        <xdr:cNvSpPr/>
      </xdr:nvSpPr>
      <xdr:spPr>
        <a:xfrm rot="5400000">
          <a:off x="15624971" y="559196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39</xdr:col>
      <xdr:colOff>0</xdr:colOff>
      <xdr:row>24</xdr:row>
      <xdr:rowOff>63501</xdr:rowOff>
    </xdr:from>
    <xdr:to>
      <xdr:col>39</xdr:col>
      <xdr:colOff>158750</xdr:colOff>
      <xdr:row>25</xdr:row>
      <xdr:rowOff>7938</xdr:rowOff>
    </xdr:to>
    <xdr:sp macro="" textlink="">
      <xdr:nvSpPr>
        <xdr:cNvPr id="56" name="Arrow: Bent 55">
          <a:extLst>
            <a:ext uri="{FF2B5EF4-FFF2-40B4-BE49-F238E27FC236}">
              <a16:creationId xmlns:a16="http://schemas.microsoft.com/office/drawing/2014/main" id="{4EE0B639-9646-471B-9301-5E76B1039116}"/>
            </a:ext>
          </a:extLst>
        </xdr:cNvPr>
        <xdr:cNvSpPr/>
      </xdr:nvSpPr>
      <xdr:spPr>
        <a:xfrm rot="5400000">
          <a:off x="15954376" y="5794376"/>
          <a:ext cx="142874" cy="158750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0</xdr:colOff>
      <xdr:row>26</xdr:row>
      <xdr:rowOff>63501</xdr:rowOff>
    </xdr:from>
    <xdr:to>
      <xdr:col>45</xdr:col>
      <xdr:colOff>150812</xdr:colOff>
      <xdr:row>27</xdr:row>
      <xdr:rowOff>190503</xdr:rowOff>
    </xdr:to>
    <xdr:sp macro="" textlink="">
      <xdr:nvSpPr>
        <xdr:cNvPr id="57" name="Arrow: Bent 56">
          <a:extLst>
            <a:ext uri="{FF2B5EF4-FFF2-40B4-BE49-F238E27FC236}">
              <a16:creationId xmlns:a16="http://schemas.microsoft.com/office/drawing/2014/main" id="{D054800E-E3E5-4182-8A97-1CC626521397}"/>
            </a:ext>
          </a:extLst>
        </xdr:cNvPr>
        <xdr:cNvSpPr/>
      </xdr:nvSpPr>
      <xdr:spPr>
        <a:xfrm rot="5400000">
          <a:off x="16859249" y="6286503"/>
          <a:ext cx="325439" cy="150812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49</xdr:col>
      <xdr:colOff>0</xdr:colOff>
      <xdr:row>29</xdr:row>
      <xdr:rowOff>63502</xdr:rowOff>
    </xdr:from>
    <xdr:to>
      <xdr:col>49</xdr:col>
      <xdr:colOff>158751</xdr:colOff>
      <xdr:row>30</xdr:row>
      <xdr:rowOff>0</xdr:rowOff>
    </xdr:to>
    <xdr:sp macro="" textlink="">
      <xdr:nvSpPr>
        <xdr:cNvPr id="58" name="Arrow: Bent 57">
          <a:extLst>
            <a:ext uri="{FF2B5EF4-FFF2-40B4-BE49-F238E27FC236}">
              <a16:creationId xmlns:a16="http://schemas.microsoft.com/office/drawing/2014/main" id="{B06C587B-BCFB-4BB1-98F1-E01A17CA7671}"/>
            </a:ext>
          </a:extLst>
        </xdr:cNvPr>
        <xdr:cNvSpPr/>
      </xdr:nvSpPr>
      <xdr:spPr>
        <a:xfrm rot="5400000">
          <a:off x="17625221" y="678259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53</xdr:col>
      <xdr:colOff>0</xdr:colOff>
      <xdr:row>30</xdr:row>
      <xdr:rowOff>63501</xdr:rowOff>
    </xdr:from>
    <xdr:to>
      <xdr:col>53</xdr:col>
      <xdr:colOff>158751</xdr:colOff>
      <xdr:row>31</xdr:row>
      <xdr:rowOff>0</xdr:rowOff>
    </xdr:to>
    <xdr:sp macro="" textlink="">
      <xdr:nvSpPr>
        <xdr:cNvPr id="59" name="Arrow: Bent 58">
          <a:extLst>
            <a:ext uri="{FF2B5EF4-FFF2-40B4-BE49-F238E27FC236}">
              <a16:creationId xmlns:a16="http://schemas.microsoft.com/office/drawing/2014/main" id="{E440D88E-E86D-4D3C-AFD1-11B2C5F670A4}"/>
            </a:ext>
          </a:extLst>
        </xdr:cNvPr>
        <xdr:cNvSpPr/>
      </xdr:nvSpPr>
      <xdr:spPr>
        <a:xfrm rot="5400000">
          <a:off x="18291971" y="698103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57</xdr:col>
      <xdr:colOff>0</xdr:colOff>
      <xdr:row>31</xdr:row>
      <xdr:rowOff>63502</xdr:rowOff>
    </xdr:from>
    <xdr:to>
      <xdr:col>57</xdr:col>
      <xdr:colOff>158751</xdr:colOff>
      <xdr:row>32</xdr:row>
      <xdr:rowOff>0</xdr:rowOff>
    </xdr:to>
    <xdr:sp macro="" textlink="">
      <xdr:nvSpPr>
        <xdr:cNvPr id="60" name="Arrow: Bent 59">
          <a:extLst>
            <a:ext uri="{FF2B5EF4-FFF2-40B4-BE49-F238E27FC236}">
              <a16:creationId xmlns:a16="http://schemas.microsoft.com/office/drawing/2014/main" id="{3D953963-D91F-4471-BDC6-613B9467669C}"/>
            </a:ext>
          </a:extLst>
        </xdr:cNvPr>
        <xdr:cNvSpPr/>
      </xdr:nvSpPr>
      <xdr:spPr>
        <a:xfrm rot="5400000">
          <a:off x="18958721" y="717946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59</xdr:col>
      <xdr:colOff>0</xdr:colOff>
      <xdr:row>32</xdr:row>
      <xdr:rowOff>63501</xdr:rowOff>
    </xdr:from>
    <xdr:to>
      <xdr:col>59</xdr:col>
      <xdr:colOff>158751</xdr:colOff>
      <xdr:row>33</xdr:row>
      <xdr:rowOff>0</xdr:rowOff>
    </xdr:to>
    <xdr:sp macro="" textlink="">
      <xdr:nvSpPr>
        <xdr:cNvPr id="61" name="Arrow: Bent 60">
          <a:extLst>
            <a:ext uri="{FF2B5EF4-FFF2-40B4-BE49-F238E27FC236}">
              <a16:creationId xmlns:a16="http://schemas.microsoft.com/office/drawing/2014/main" id="{2E92526D-2E0C-429E-96B1-86C3922166A5}"/>
            </a:ext>
          </a:extLst>
        </xdr:cNvPr>
        <xdr:cNvSpPr/>
      </xdr:nvSpPr>
      <xdr:spPr>
        <a:xfrm rot="5400000">
          <a:off x="19292096" y="737790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61</xdr:col>
      <xdr:colOff>0</xdr:colOff>
      <xdr:row>33</xdr:row>
      <xdr:rowOff>63502</xdr:rowOff>
    </xdr:from>
    <xdr:to>
      <xdr:col>61</xdr:col>
      <xdr:colOff>158751</xdr:colOff>
      <xdr:row>34</xdr:row>
      <xdr:rowOff>0</xdr:rowOff>
    </xdr:to>
    <xdr:sp macro="" textlink="">
      <xdr:nvSpPr>
        <xdr:cNvPr id="62" name="Arrow: Bent 61">
          <a:extLst>
            <a:ext uri="{FF2B5EF4-FFF2-40B4-BE49-F238E27FC236}">
              <a16:creationId xmlns:a16="http://schemas.microsoft.com/office/drawing/2014/main" id="{14B039AB-D7BB-4836-9951-4019358020DA}"/>
            </a:ext>
          </a:extLst>
        </xdr:cNvPr>
        <xdr:cNvSpPr/>
      </xdr:nvSpPr>
      <xdr:spPr>
        <a:xfrm rot="5400000">
          <a:off x="19625471" y="757634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65</xdr:col>
      <xdr:colOff>0</xdr:colOff>
      <xdr:row>34</xdr:row>
      <xdr:rowOff>63501</xdr:rowOff>
    </xdr:from>
    <xdr:to>
      <xdr:col>65</xdr:col>
      <xdr:colOff>158751</xdr:colOff>
      <xdr:row>35</xdr:row>
      <xdr:rowOff>0</xdr:rowOff>
    </xdr:to>
    <xdr:sp macro="" textlink="">
      <xdr:nvSpPr>
        <xdr:cNvPr id="63" name="Arrow: Bent 62">
          <a:extLst>
            <a:ext uri="{FF2B5EF4-FFF2-40B4-BE49-F238E27FC236}">
              <a16:creationId xmlns:a16="http://schemas.microsoft.com/office/drawing/2014/main" id="{D18C4CF1-6378-462F-AC83-C28FAFCE3323}"/>
            </a:ext>
          </a:extLst>
        </xdr:cNvPr>
        <xdr:cNvSpPr/>
      </xdr:nvSpPr>
      <xdr:spPr>
        <a:xfrm rot="5400000">
          <a:off x="20292221" y="777478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67</xdr:col>
      <xdr:colOff>0</xdr:colOff>
      <xdr:row>35</xdr:row>
      <xdr:rowOff>63502</xdr:rowOff>
    </xdr:from>
    <xdr:to>
      <xdr:col>67</xdr:col>
      <xdr:colOff>158751</xdr:colOff>
      <xdr:row>36</xdr:row>
      <xdr:rowOff>0</xdr:rowOff>
    </xdr:to>
    <xdr:sp macro="" textlink="">
      <xdr:nvSpPr>
        <xdr:cNvPr id="14336" name="Arrow: Bent 14335">
          <a:extLst>
            <a:ext uri="{FF2B5EF4-FFF2-40B4-BE49-F238E27FC236}">
              <a16:creationId xmlns:a16="http://schemas.microsoft.com/office/drawing/2014/main" id="{443E2765-2869-4768-9171-266808DCFA46}"/>
            </a:ext>
          </a:extLst>
        </xdr:cNvPr>
        <xdr:cNvSpPr/>
      </xdr:nvSpPr>
      <xdr:spPr>
        <a:xfrm rot="5400000">
          <a:off x="20625596" y="797321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71</xdr:col>
      <xdr:colOff>0</xdr:colOff>
      <xdr:row>36</xdr:row>
      <xdr:rowOff>63502</xdr:rowOff>
    </xdr:from>
    <xdr:to>
      <xdr:col>71</xdr:col>
      <xdr:colOff>150812</xdr:colOff>
      <xdr:row>37</xdr:row>
      <xdr:rowOff>15879</xdr:rowOff>
    </xdr:to>
    <xdr:sp macro="" textlink="">
      <xdr:nvSpPr>
        <xdr:cNvPr id="14338" name="Arrow: Bent 14337">
          <a:extLst>
            <a:ext uri="{FF2B5EF4-FFF2-40B4-BE49-F238E27FC236}">
              <a16:creationId xmlns:a16="http://schemas.microsoft.com/office/drawing/2014/main" id="{6296E3C8-8420-400B-B4D7-F278BE189425}"/>
            </a:ext>
          </a:extLst>
        </xdr:cNvPr>
        <xdr:cNvSpPr/>
      </xdr:nvSpPr>
      <xdr:spPr>
        <a:xfrm rot="5400000">
          <a:off x="21280437" y="8183566"/>
          <a:ext cx="150814" cy="150812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77</xdr:col>
      <xdr:colOff>0</xdr:colOff>
      <xdr:row>39</xdr:row>
      <xdr:rowOff>63502</xdr:rowOff>
    </xdr:from>
    <xdr:to>
      <xdr:col>77</xdr:col>
      <xdr:colOff>158751</xdr:colOff>
      <xdr:row>40</xdr:row>
      <xdr:rowOff>0</xdr:rowOff>
    </xdr:to>
    <xdr:sp macro="" textlink="">
      <xdr:nvSpPr>
        <xdr:cNvPr id="14339" name="Arrow: Bent 14338">
          <a:extLst>
            <a:ext uri="{FF2B5EF4-FFF2-40B4-BE49-F238E27FC236}">
              <a16:creationId xmlns:a16="http://schemas.microsoft.com/office/drawing/2014/main" id="{250E467B-5EFE-4CC2-A5EE-3C9B12CBD5AF}"/>
            </a:ext>
          </a:extLst>
        </xdr:cNvPr>
        <xdr:cNvSpPr/>
      </xdr:nvSpPr>
      <xdr:spPr>
        <a:xfrm rot="5400000">
          <a:off x="22292471" y="876696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79</xdr:col>
      <xdr:colOff>166685</xdr:colOff>
      <xdr:row>41</xdr:row>
      <xdr:rowOff>0</xdr:rowOff>
    </xdr:from>
    <xdr:to>
      <xdr:col>80</xdr:col>
      <xdr:colOff>158750</xdr:colOff>
      <xdr:row>42</xdr:row>
      <xdr:rowOff>7938</xdr:rowOff>
    </xdr:to>
    <xdr:sp macro="" textlink="">
      <xdr:nvSpPr>
        <xdr:cNvPr id="14340" name="Arrow: Bent 14339">
          <a:extLst>
            <a:ext uri="{FF2B5EF4-FFF2-40B4-BE49-F238E27FC236}">
              <a16:creationId xmlns:a16="http://schemas.microsoft.com/office/drawing/2014/main" id="{862E5FB1-F953-47C1-8C02-6CABDBB32695}"/>
            </a:ext>
          </a:extLst>
        </xdr:cNvPr>
        <xdr:cNvSpPr/>
      </xdr:nvSpPr>
      <xdr:spPr>
        <a:xfrm rot="5400000">
          <a:off x="22756811" y="9136062"/>
          <a:ext cx="206376" cy="158752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84</xdr:col>
      <xdr:colOff>0</xdr:colOff>
      <xdr:row>44</xdr:row>
      <xdr:rowOff>63501</xdr:rowOff>
    </xdr:from>
    <xdr:to>
      <xdr:col>84</xdr:col>
      <xdr:colOff>158751</xdr:colOff>
      <xdr:row>45</xdr:row>
      <xdr:rowOff>0</xdr:rowOff>
    </xdr:to>
    <xdr:sp macro="" textlink="">
      <xdr:nvSpPr>
        <xdr:cNvPr id="14341" name="Arrow: Bent 14340">
          <a:extLst>
            <a:ext uri="{FF2B5EF4-FFF2-40B4-BE49-F238E27FC236}">
              <a16:creationId xmlns:a16="http://schemas.microsoft.com/office/drawing/2014/main" id="{D298B085-3A60-420C-A694-93BAB42ECD5E}"/>
            </a:ext>
          </a:extLst>
        </xdr:cNvPr>
        <xdr:cNvSpPr/>
      </xdr:nvSpPr>
      <xdr:spPr>
        <a:xfrm rot="5400000">
          <a:off x="23459283" y="975915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88</xdr:col>
      <xdr:colOff>0</xdr:colOff>
      <xdr:row>45</xdr:row>
      <xdr:rowOff>63502</xdr:rowOff>
    </xdr:from>
    <xdr:to>
      <xdr:col>89</xdr:col>
      <xdr:colOff>-1</xdr:colOff>
      <xdr:row>49</xdr:row>
      <xdr:rowOff>2</xdr:rowOff>
    </xdr:to>
    <xdr:sp macro="" textlink="">
      <xdr:nvSpPr>
        <xdr:cNvPr id="14342" name="Arrow: Bent 14341">
          <a:extLst>
            <a:ext uri="{FF2B5EF4-FFF2-40B4-BE49-F238E27FC236}">
              <a16:creationId xmlns:a16="http://schemas.microsoft.com/office/drawing/2014/main" id="{F9A26C49-32A2-45BE-893A-34524BA3C89F}"/>
            </a:ext>
          </a:extLst>
        </xdr:cNvPr>
        <xdr:cNvSpPr/>
      </xdr:nvSpPr>
      <xdr:spPr>
        <a:xfrm rot="5400000">
          <a:off x="23832344" y="10251283"/>
          <a:ext cx="730250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93</xdr:col>
      <xdr:colOff>0</xdr:colOff>
      <xdr:row>49</xdr:row>
      <xdr:rowOff>63503</xdr:rowOff>
    </xdr:from>
    <xdr:to>
      <xdr:col>93</xdr:col>
      <xdr:colOff>134937</xdr:colOff>
      <xdr:row>50</xdr:row>
      <xdr:rowOff>7941</xdr:rowOff>
    </xdr:to>
    <xdr:sp macro="" textlink="">
      <xdr:nvSpPr>
        <xdr:cNvPr id="14343" name="Arrow: Bent 14342">
          <a:extLst>
            <a:ext uri="{FF2B5EF4-FFF2-40B4-BE49-F238E27FC236}">
              <a16:creationId xmlns:a16="http://schemas.microsoft.com/office/drawing/2014/main" id="{90E15C6C-E121-4634-907D-1E5A63976767}"/>
            </a:ext>
          </a:extLst>
        </xdr:cNvPr>
        <xdr:cNvSpPr/>
      </xdr:nvSpPr>
      <xdr:spPr>
        <a:xfrm rot="5400000">
          <a:off x="24943594" y="10767222"/>
          <a:ext cx="142876" cy="13493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95</xdr:col>
      <xdr:colOff>7935</xdr:colOff>
      <xdr:row>51</xdr:row>
      <xdr:rowOff>190503</xdr:rowOff>
    </xdr:from>
    <xdr:to>
      <xdr:col>95</xdr:col>
      <xdr:colOff>166686</xdr:colOff>
      <xdr:row>53</xdr:row>
      <xdr:rowOff>2</xdr:rowOff>
    </xdr:to>
    <xdr:sp macro="" textlink="">
      <xdr:nvSpPr>
        <xdr:cNvPr id="14344" name="Arrow: Bent 14343">
          <a:extLst>
            <a:ext uri="{FF2B5EF4-FFF2-40B4-BE49-F238E27FC236}">
              <a16:creationId xmlns:a16="http://schemas.microsoft.com/office/drawing/2014/main" id="{7E7F8E2B-36B3-4E76-9957-984D14C127AC}"/>
            </a:ext>
          </a:extLst>
        </xdr:cNvPr>
        <xdr:cNvSpPr/>
      </xdr:nvSpPr>
      <xdr:spPr>
        <a:xfrm rot="5400000">
          <a:off x="25265062" y="11310939"/>
          <a:ext cx="206374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96</xdr:col>
      <xdr:colOff>166686</xdr:colOff>
      <xdr:row>53</xdr:row>
      <xdr:rowOff>63503</xdr:rowOff>
    </xdr:from>
    <xdr:to>
      <xdr:col>97</xdr:col>
      <xdr:colOff>150811</xdr:colOff>
      <xdr:row>54</xdr:row>
      <xdr:rowOff>23813</xdr:rowOff>
    </xdr:to>
    <xdr:sp macro="" textlink="">
      <xdr:nvSpPr>
        <xdr:cNvPr id="14345" name="Arrow: Bent 14344">
          <a:extLst>
            <a:ext uri="{FF2B5EF4-FFF2-40B4-BE49-F238E27FC236}">
              <a16:creationId xmlns:a16="http://schemas.microsoft.com/office/drawing/2014/main" id="{14556801-F1B9-430B-934B-3CE8F1E92B95}"/>
            </a:ext>
          </a:extLst>
        </xdr:cNvPr>
        <xdr:cNvSpPr/>
      </xdr:nvSpPr>
      <xdr:spPr>
        <a:xfrm rot="5400000">
          <a:off x="25610344" y="11560970"/>
          <a:ext cx="158748" cy="150813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99</xdr:col>
      <xdr:colOff>7935</xdr:colOff>
      <xdr:row>56</xdr:row>
      <xdr:rowOff>1</xdr:rowOff>
    </xdr:from>
    <xdr:to>
      <xdr:col>99</xdr:col>
      <xdr:colOff>166686</xdr:colOff>
      <xdr:row>57</xdr:row>
      <xdr:rowOff>2</xdr:rowOff>
    </xdr:to>
    <xdr:sp macro="" textlink="">
      <xdr:nvSpPr>
        <xdr:cNvPr id="14346" name="Arrow: Bent 14345">
          <a:extLst>
            <a:ext uri="{FF2B5EF4-FFF2-40B4-BE49-F238E27FC236}">
              <a16:creationId xmlns:a16="http://schemas.microsoft.com/office/drawing/2014/main" id="{80B77D19-47CB-4571-8336-BEC46EB19F46}"/>
            </a:ext>
          </a:extLst>
        </xdr:cNvPr>
        <xdr:cNvSpPr/>
      </xdr:nvSpPr>
      <xdr:spPr>
        <a:xfrm rot="5400000">
          <a:off x="25935780" y="12108657"/>
          <a:ext cx="198438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101</xdr:col>
      <xdr:colOff>166686</xdr:colOff>
      <xdr:row>58</xdr:row>
      <xdr:rowOff>63501</xdr:rowOff>
    </xdr:from>
    <xdr:to>
      <xdr:col>102</xdr:col>
      <xdr:colOff>150812</xdr:colOff>
      <xdr:row>59</xdr:row>
      <xdr:rowOff>15876</xdr:rowOff>
    </xdr:to>
    <xdr:sp macro="" textlink="">
      <xdr:nvSpPr>
        <xdr:cNvPr id="14347" name="Arrow: Bent 14346">
          <a:extLst>
            <a:ext uri="{FF2B5EF4-FFF2-40B4-BE49-F238E27FC236}">
              <a16:creationId xmlns:a16="http://schemas.microsoft.com/office/drawing/2014/main" id="{0B468979-0DF7-4256-8FF8-2B3EE7C735F7}"/>
            </a:ext>
          </a:extLst>
        </xdr:cNvPr>
        <xdr:cNvSpPr/>
      </xdr:nvSpPr>
      <xdr:spPr>
        <a:xfrm rot="5400000">
          <a:off x="26447750" y="12549188"/>
          <a:ext cx="150812" cy="150813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119</xdr:col>
      <xdr:colOff>0</xdr:colOff>
      <xdr:row>78</xdr:row>
      <xdr:rowOff>63501</xdr:rowOff>
    </xdr:from>
    <xdr:to>
      <xdr:col>119</xdr:col>
      <xdr:colOff>158751</xdr:colOff>
      <xdr:row>79</xdr:row>
      <xdr:rowOff>0</xdr:rowOff>
    </xdr:to>
    <xdr:sp macro="" textlink="">
      <xdr:nvSpPr>
        <xdr:cNvPr id="14351" name="Arrow: Bent 14350">
          <a:extLst>
            <a:ext uri="{FF2B5EF4-FFF2-40B4-BE49-F238E27FC236}">
              <a16:creationId xmlns:a16="http://schemas.microsoft.com/office/drawing/2014/main" id="{CDA7CE8B-40DB-4F47-ABCA-B6450E830D31}"/>
            </a:ext>
          </a:extLst>
        </xdr:cNvPr>
        <xdr:cNvSpPr/>
      </xdr:nvSpPr>
      <xdr:spPr>
        <a:xfrm rot="5400000">
          <a:off x="29293346" y="1650603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115</xdr:col>
      <xdr:colOff>166686</xdr:colOff>
      <xdr:row>76</xdr:row>
      <xdr:rowOff>63501</xdr:rowOff>
    </xdr:from>
    <xdr:to>
      <xdr:col>117</xdr:col>
      <xdr:colOff>-1</xdr:colOff>
      <xdr:row>78</xdr:row>
      <xdr:rowOff>1</xdr:rowOff>
    </xdr:to>
    <xdr:sp macro="" textlink="">
      <xdr:nvSpPr>
        <xdr:cNvPr id="14352" name="Arrow: Bent 14351">
          <a:extLst>
            <a:ext uri="{FF2B5EF4-FFF2-40B4-BE49-F238E27FC236}">
              <a16:creationId xmlns:a16="http://schemas.microsoft.com/office/drawing/2014/main" id="{19DB14F7-1A7F-48D7-A32F-920A9C73A5A9}"/>
            </a:ext>
          </a:extLst>
        </xdr:cNvPr>
        <xdr:cNvSpPr/>
      </xdr:nvSpPr>
      <xdr:spPr>
        <a:xfrm rot="5400000">
          <a:off x="28698030" y="16204408"/>
          <a:ext cx="333375" cy="166688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112</xdr:col>
      <xdr:colOff>0</xdr:colOff>
      <xdr:row>71</xdr:row>
      <xdr:rowOff>63502</xdr:rowOff>
    </xdr:from>
    <xdr:to>
      <xdr:col>113</xdr:col>
      <xdr:colOff>-1</xdr:colOff>
      <xdr:row>75</xdr:row>
      <xdr:rowOff>2</xdr:rowOff>
    </xdr:to>
    <xdr:sp macro="" textlink="">
      <xdr:nvSpPr>
        <xdr:cNvPr id="14353" name="Arrow: Bent 14352">
          <a:extLst>
            <a:ext uri="{FF2B5EF4-FFF2-40B4-BE49-F238E27FC236}">
              <a16:creationId xmlns:a16="http://schemas.microsoft.com/office/drawing/2014/main" id="{5B910A3D-5A37-48F6-BFD1-D7E67CD9FFB5}"/>
            </a:ext>
          </a:extLst>
        </xdr:cNvPr>
        <xdr:cNvSpPr/>
      </xdr:nvSpPr>
      <xdr:spPr>
        <a:xfrm rot="5400000">
          <a:off x="27832844" y="15410658"/>
          <a:ext cx="730250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112</xdr:col>
      <xdr:colOff>0</xdr:colOff>
      <xdr:row>67</xdr:row>
      <xdr:rowOff>63502</xdr:rowOff>
    </xdr:from>
    <xdr:to>
      <xdr:col>113</xdr:col>
      <xdr:colOff>-1</xdr:colOff>
      <xdr:row>75</xdr:row>
      <xdr:rowOff>2</xdr:rowOff>
    </xdr:to>
    <xdr:sp macro="" textlink="">
      <xdr:nvSpPr>
        <xdr:cNvPr id="14354" name="Arrow: Bent 14353">
          <a:extLst>
            <a:ext uri="{FF2B5EF4-FFF2-40B4-BE49-F238E27FC236}">
              <a16:creationId xmlns:a16="http://schemas.microsoft.com/office/drawing/2014/main" id="{246A295F-417F-42DB-86B6-D77EF09974A5}"/>
            </a:ext>
          </a:extLst>
        </xdr:cNvPr>
        <xdr:cNvSpPr/>
      </xdr:nvSpPr>
      <xdr:spPr>
        <a:xfrm rot="5400000">
          <a:off x="27435969" y="15013783"/>
          <a:ext cx="1524000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109</xdr:col>
      <xdr:colOff>0</xdr:colOff>
      <xdr:row>66</xdr:row>
      <xdr:rowOff>1</xdr:rowOff>
    </xdr:from>
    <xdr:to>
      <xdr:col>109</xdr:col>
      <xdr:colOff>166686</xdr:colOff>
      <xdr:row>67</xdr:row>
      <xdr:rowOff>2</xdr:rowOff>
    </xdr:to>
    <xdr:sp macro="" textlink="">
      <xdr:nvSpPr>
        <xdr:cNvPr id="14356" name="Arrow: Bent 14355">
          <a:extLst>
            <a:ext uri="{FF2B5EF4-FFF2-40B4-BE49-F238E27FC236}">
              <a16:creationId xmlns:a16="http://schemas.microsoft.com/office/drawing/2014/main" id="{165608D9-1D42-4EED-8262-5BD4450B1076}"/>
            </a:ext>
          </a:extLst>
        </xdr:cNvPr>
        <xdr:cNvSpPr/>
      </xdr:nvSpPr>
      <xdr:spPr>
        <a:xfrm rot="5400000">
          <a:off x="27598687" y="14089065"/>
          <a:ext cx="198438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123</xdr:col>
      <xdr:colOff>-1</xdr:colOff>
      <xdr:row>80</xdr:row>
      <xdr:rowOff>63502</xdr:rowOff>
    </xdr:from>
    <xdr:to>
      <xdr:col>124</xdr:col>
      <xdr:colOff>23812</xdr:colOff>
      <xdr:row>81</xdr:row>
      <xdr:rowOff>15878</xdr:rowOff>
    </xdr:to>
    <xdr:sp macro="" textlink="">
      <xdr:nvSpPr>
        <xdr:cNvPr id="14357" name="Arrow: Bent 14356">
          <a:extLst>
            <a:ext uri="{FF2B5EF4-FFF2-40B4-BE49-F238E27FC236}">
              <a16:creationId xmlns:a16="http://schemas.microsoft.com/office/drawing/2014/main" id="{435C9AE0-F2AB-4137-BDEF-A5F05DC49CA3}"/>
            </a:ext>
          </a:extLst>
        </xdr:cNvPr>
        <xdr:cNvSpPr/>
      </xdr:nvSpPr>
      <xdr:spPr>
        <a:xfrm rot="5400000">
          <a:off x="29968030" y="16894972"/>
          <a:ext cx="150813" cy="190500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136</xdr:col>
      <xdr:colOff>0</xdr:colOff>
      <xdr:row>90</xdr:row>
      <xdr:rowOff>63501</xdr:rowOff>
    </xdr:from>
    <xdr:to>
      <xdr:col>136</xdr:col>
      <xdr:colOff>158751</xdr:colOff>
      <xdr:row>91</xdr:row>
      <xdr:rowOff>0</xdr:rowOff>
    </xdr:to>
    <xdr:sp macro="" textlink="">
      <xdr:nvSpPr>
        <xdr:cNvPr id="14359" name="Arrow: Bent 14358">
          <a:extLst>
            <a:ext uri="{FF2B5EF4-FFF2-40B4-BE49-F238E27FC236}">
              <a16:creationId xmlns:a16="http://schemas.microsoft.com/office/drawing/2014/main" id="{1591C697-7283-4C11-813E-28D932CE58A1}"/>
            </a:ext>
          </a:extLst>
        </xdr:cNvPr>
        <xdr:cNvSpPr/>
      </xdr:nvSpPr>
      <xdr:spPr>
        <a:xfrm rot="5400000">
          <a:off x="32127033" y="1888728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137</xdr:col>
      <xdr:colOff>166686</xdr:colOff>
      <xdr:row>91</xdr:row>
      <xdr:rowOff>63502</xdr:rowOff>
    </xdr:from>
    <xdr:to>
      <xdr:col>138</xdr:col>
      <xdr:colOff>150813</xdr:colOff>
      <xdr:row>92</xdr:row>
      <xdr:rowOff>31750</xdr:rowOff>
    </xdr:to>
    <xdr:sp macro="" textlink="">
      <xdr:nvSpPr>
        <xdr:cNvPr id="14360" name="Arrow: Bent 14359">
          <a:extLst>
            <a:ext uri="{FF2B5EF4-FFF2-40B4-BE49-F238E27FC236}">
              <a16:creationId xmlns:a16="http://schemas.microsoft.com/office/drawing/2014/main" id="{A8D071DD-2C91-45D5-9981-0545219279E0}"/>
            </a:ext>
          </a:extLst>
        </xdr:cNvPr>
        <xdr:cNvSpPr/>
      </xdr:nvSpPr>
      <xdr:spPr>
        <a:xfrm rot="5400000">
          <a:off x="32440563" y="19105563"/>
          <a:ext cx="166686" cy="150814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142</xdr:col>
      <xdr:colOff>0</xdr:colOff>
      <xdr:row>94</xdr:row>
      <xdr:rowOff>2</xdr:rowOff>
    </xdr:from>
    <xdr:to>
      <xdr:col>143</xdr:col>
      <xdr:colOff>-1</xdr:colOff>
      <xdr:row>95</xdr:row>
      <xdr:rowOff>0</xdr:rowOff>
    </xdr:to>
    <xdr:sp macro="" textlink="">
      <xdr:nvSpPr>
        <xdr:cNvPr id="14361" name="Arrow: Bent 14360">
          <a:extLst>
            <a:ext uri="{FF2B5EF4-FFF2-40B4-BE49-F238E27FC236}">
              <a16:creationId xmlns:a16="http://schemas.microsoft.com/office/drawing/2014/main" id="{F1492816-107B-4DD1-B4F3-94E9F0EF9300}"/>
            </a:ext>
          </a:extLst>
        </xdr:cNvPr>
        <xdr:cNvSpPr/>
      </xdr:nvSpPr>
      <xdr:spPr>
        <a:xfrm rot="5400000">
          <a:off x="33099376" y="19645314"/>
          <a:ext cx="198435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147</xdr:col>
      <xdr:colOff>166686</xdr:colOff>
      <xdr:row>95</xdr:row>
      <xdr:rowOff>63501</xdr:rowOff>
    </xdr:from>
    <xdr:to>
      <xdr:col>149</xdr:col>
      <xdr:colOff>-1</xdr:colOff>
      <xdr:row>96</xdr:row>
      <xdr:rowOff>0</xdr:rowOff>
    </xdr:to>
    <xdr:sp macro="" textlink="">
      <xdr:nvSpPr>
        <xdr:cNvPr id="14363" name="Arrow: Bent 14362">
          <a:extLst>
            <a:ext uri="{FF2B5EF4-FFF2-40B4-BE49-F238E27FC236}">
              <a16:creationId xmlns:a16="http://schemas.microsoft.com/office/drawing/2014/main" id="{0EFB8AEF-074A-4A20-A399-2B2819CC84B4}"/>
            </a:ext>
          </a:extLst>
        </xdr:cNvPr>
        <xdr:cNvSpPr/>
      </xdr:nvSpPr>
      <xdr:spPr>
        <a:xfrm rot="5400000">
          <a:off x="34131249" y="19875501"/>
          <a:ext cx="134937" cy="166688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154</xdr:col>
      <xdr:colOff>0</xdr:colOff>
      <xdr:row>103</xdr:row>
      <xdr:rowOff>63502</xdr:rowOff>
    </xdr:from>
    <xdr:to>
      <xdr:col>154</xdr:col>
      <xdr:colOff>158751</xdr:colOff>
      <xdr:row>104</xdr:row>
      <xdr:rowOff>0</xdr:rowOff>
    </xdr:to>
    <xdr:sp macro="" textlink="">
      <xdr:nvSpPr>
        <xdr:cNvPr id="14365" name="Arrow: Bent 14364">
          <a:extLst>
            <a:ext uri="{FF2B5EF4-FFF2-40B4-BE49-F238E27FC236}">
              <a16:creationId xmlns:a16="http://schemas.microsoft.com/office/drawing/2014/main" id="{92C649A4-3B4F-4B1E-9D45-497C3828EA6F}"/>
            </a:ext>
          </a:extLst>
        </xdr:cNvPr>
        <xdr:cNvSpPr/>
      </xdr:nvSpPr>
      <xdr:spPr>
        <a:xfrm rot="5400000">
          <a:off x="35127408" y="2146696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156</xdr:col>
      <xdr:colOff>7934</xdr:colOff>
      <xdr:row>104</xdr:row>
      <xdr:rowOff>71439</xdr:rowOff>
    </xdr:from>
    <xdr:to>
      <xdr:col>157</xdr:col>
      <xdr:colOff>7936</xdr:colOff>
      <xdr:row>105</xdr:row>
      <xdr:rowOff>7938</xdr:rowOff>
    </xdr:to>
    <xdr:sp macro="" textlink="">
      <xdr:nvSpPr>
        <xdr:cNvPr id="14367" name="Arrow: Bent 14366">
          <a:extLst>
            <a:ext uri="{FF2B5EF4-FFF2-40B4-BE49-F238E27FC236}">
              <a16:creationId xmlns:a16="http://schemas.microsoft.com/office/drawing/2014/main" id="{D278A95F-2D4A-487C-BB2A-881D56B76B49}"/>
            </a:ext>
          </a:extLst>
        </xdr:cNvPr>
        <xdr:cNvSpPr/>
      </xdr:nvSpPr>
      <xdr:spPr>
        <a:xfrm rot="5400000">
          <a:off x="35472686" y="21669375"/>
          <a:ext cx="134936" cy="166690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161</xdr:col>
      <xdr:colOff>0</xdr:colOff>
      <xdr:row>106</xdr:row>
      <xdr:rowOff>63501</xdr:rowOff>
    </xdr:from>
    <xdr:to>
      <xdr:col>161</xdr:col>
      <xdr:colOff>166686</xdr:colOff>
      <xdr:row>108</xdr:row>
      <xdr:rowOff>2</xdr:rowOff>
    </xdr:to>
    <xdr:sp macro="" textlink="">
      <xdr:nvSpPr>
        <xdr:cNvPr id="14368" name="Arrow: Bent 14367">
          <a:extLst>
            <a:ext uri="{FF2B5EF4-FFF2-40B4-BE49-F238E27FC236}">
              <a16:creationId xmlns:a16="http://schemas.microsoft.com/office/drawing/2014/main" id="{56B75298-E71D-47C9-AFFE-1DA6E6D9FF79}"/>
            </a:ext>
          </a:extLst>
        </xdr:cNvPr>
        <xdr:cNvSpPr/>
      </xdr:nvSpPr>
      <xdr:spPr>
        <a:xfrm rot="5400000">
          <a:off x="36198968" y="22157534"/>
          <a:ext cx="333376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165</xdr:col>
      <xdr:colOff>-1</xdr:colOff>
      <xdr:row>108</xdr:row>
      <xdr:rowOff>63501</xdr:rowOff>
    </xdr:from>
    <xdr:to>
      <xdr:col>166</xdr:col>
      <xdr:colOff>7937</xdr:colOff>
      <xdr:row>109</xdr:row>
      <xdr:rowOff>7938</xdr:rowOff>
    </xdr:to>
    <xdr:sp macro="" textlink="">
      <xdr:nvSpPr>
        <xdr:cNvPr id="14369" name="Arrow: Bent 14368">
          <a:extLst>
            <a:ext uri="{FF2B5EF4-FFF2-40B4-BE49-F238E27FC236}">
              <a16:creationId xmlns:a16="http://schemas.microsoft.com/office/drawing/2014/main" id="{43B09EAD-A174-4608-B727-70B7E4CC40B4}"/>
            </a:ext>
          </a:extLst>
        </xdr:cNvPr>
        <xdr:cNvSpPr/>
      </xdr:nvSpPr>
      <xdr:spPr>
        <a:xfrm rot="5400000">
          <a:off x="36964938" y="22455188"/>
          <a:ext cx="142874" cy="174625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171</xdr:col>
      <xdr:colOff>0</xdr:colOff>
      <xdr:row>111</xdr:row>
      <xdr:rowOff>2</xdr:rowOff>
    </xdr:from>
    <xdr:to>
      <xdr:col>171</xdr:col>
      <xdr:colOff>166686</xdr:colOff>
      <xdr:row>112</xdr:row>
      <xdr:rowOff>0</xdr:rowOff>
    </xdr:to>
    <xdr:sp macro="" textlink="">
      <xdr:nvSpPr>
        <xdr:cNvPr id="14370" name="Arrow: Bent 14369">
          <a:extLst>
            <a:ext uri="{FF2B5EF4-FFF2-40B4-BE49-F238E27FC236}">
              <a16:creationId xmlns:a16="http://schemas.microsoft.com/office/drawing/2014/main" id="{7B0EE222-C124-4578-8071-32C881B8D0BE}"/>
            </a:ext>
          </a:extLst>
        </xdr:cNvPr>
        <xdr:cNvSpPr/>
      </xdr:nvSpPr>
      <xdr:spPr>
        <a:xfrm rot="5400000">
          <a:off x="37933313" y="23018752"/>
          <a:ext cx="198436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178</xdr:col>
      <xdr:colOff>0</xdr:colOff>
      <xdr:row>112</xdr:row>
      <xdr:rowOff>63501</xdr:rowOff>
    </xdr:from>
    <xdr:to>
      <xdr:col>178</xdr:col>
      <xdr:colOff>158749</xdr:colOff>
      <xdr:row>113</xdr:row>
      <xdr:rowOff>7941</xdr:rowOff>
    </xdr:to>
    <xdr:sp macro="" textlink="">
      <xdr:nvSpPr>
        <xdr:cNvPr id="14371" name="Arrow: Bent 14370">
          <a:extLst>
            <a:ext uri="{FF2B5EF4-FFF2-40B4-BE49-F238E27FC236}">
              <a16:creationId xmlns:a16="http://schemas.microsoft.com/office/drawing/2014/main" id="{CA057173-15EE-45AE-B7FD-9A46AD321FD1}"/>
            </a:ext>
          </a:extLst>
        </xdr:cNvPr>
        <xdr:cNvSpPr/>
      </xdr:nvSpPr>
      <xdr:spPr>
        <a:xfrm rot="5400000">
          <a:off x="39123936" y="23256878"/>
          <a:ext cx="142877" cy="158749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193</xdr:col>
      <xdr:colOff>0</xdr:colOff>
      <xdr:row>114</xdr:row>
      <xdr:rowOff>63501</xdr:rowOff>
    </xdr:from>
    <xdr:to>
      <xdr:col>193</xdr:col>
      <xdr:colOff>158751</xdr:colOff>
      <xdr:row>115</xdr:row>
      <xdr:rowOff>0</xdr:rowOff>
    </xdr:to>
    <xdr:sp macro="" textlink="">
      <xdr:nvSpPr>
        <xdr:cNvPr id="14372" name="Arrow: Bent 14371">
          <a:extLst>
            <a:ext uri="{FF2B5EF4-FFF2-40B4-BE49-F238E27FC236}">
              <a16:creationId xmlns:a16="http://schemas.microsoft.com/office/drawing/2014/main" id="{3DE5D7E7-9D1D-4F49-83E8-A56063AC66F6}"/>
            </a:ext>
          </a:extLst>
        </xdr:cNvPr>
        <xdr:cNvSpPr/>
      </xdr:nvSpPr>
      <xdr:spPr>
        <a:xfrm rot="5400000">
          <a:off x="41628221" y="2364978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197</xdr:col>
      <xdr:colOff>166686</xdr:colOff>
      <xdr:row>116</xdr:row>
      <xdr:rowOff>63501</xdr:rowOff>
    </xdr:from>
    <xdr:to>
      <xdr:col>199</xdr:col>
      <xdr:colOff>7936</xdr:colOff>
      <xdr:row>117</xdr:row>
      <xdr:rowOff>3</xdr:rowOff>
    </xdr:to>
    <xdr:sp macro="" textlink="">
      <xdr:nvSpPr>
        <xdr:cNvPr id="14373" name="Arrow: Bent 14372">
          <a:extLst>
            <a:ext uri="{FF2B5EF4-FFF2-40B4-BE49-F238E27FC236}">
              <a16:creationId xmlns:a16="http://schemas.microsoft.com/office/drawing/2014/main" id="{6BAF2EA5-AA2E-4E6D-84E2-7FD4777D9C62}"/>
            </a:ext>
          </a:extLst>
        </xdr:cNvPr>
        <xdr:cNvSpPr/>
      </xdr:nvSpPr>
      <xdr:spPr>
        <a:xfrm rot="5400000">
          <a:off x="42469592" y="24038721"/>
          <a:ext cx="134939" cy="174625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204</xdr:col>
      <xdr:colOff>0</xdr:colOff>
      <xdr:row>119</xdr:row>
      <xdr:rowOff>63502</xdr:rowOff>
    </xdr:from>
    <xdr:to>
      <xdr:col>204</xdr:col>
      <xdr:colOff>158751</xdr:colOff>
      <xdr:row>120</xdr:row>
      <xdr:rowOff>0</xdr:rowOff>
    </xdr:to>
    <xdr:sp macro="" textlink="">
      <xdr:nvSpPr>
        <xdr:cNvPr id="14374" name="Arrow: Bent 14373">
          <a:extLst>
            <a:ext uri="{FF2B5EF4-FFF2-40B4-BE49-F238E27FC236}">
              <a16:creationId xmlns:a16="http://schemas.microsoft.com/office/drawing/2014/main" id="{7849FF8D-774C-4EEE-BFC5-A7176CADE5F4}"/>
            </a:ext>
          </a:extLst>
        </xdr:cNvPr>
        <xdr:cNvSpPr/>
      </xdr:nvSpPr>
      <xdr:spPr>
        <a:xfrm rot="5400000">
          <a:off x="43461783" y="2464196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210</xdr:col>
      <xdr:colOff>0</xdr:colOff>
      <xdr:row>120</xdr:row>
      <xdr:rowOff>63501</xdr:rowOff>
    </xdr:from>
    <xdr:to>
      <xdr:col>210</xdr:col>
      <xdr:colOff>158751</xdr:colOff>
      <xdr:row>121</xdr:row>
      <xdr:rowOff>0</xdr:rowOff>
    </xdr:to>
    <xdr:sp macro="" textlink="">
      <xdr:nvSpPr>
        <xdr:cNvPr id="14375" name="Arrow: Bent 14374">
          <a:extLst>
            <a:ext uri="{FF2B5EF4-FFF2-40B4-BE49-F238E27FC236}">
              <a16:creationId xmlns:a16="http://schemas.microsoft.com/office/drawing/2014/main" id="{361B9B54-EFA1-483B-B168-A7EC2839EAAD}"/>
            </a:ext>
          </a:extLst>
        </xdr:cNvPr>
        <xdr:cNvSpPr/>
      </xdr:nvSpPr>
      <xdr:spPr>
        <a:xfrm rot="5400000">
          <a:off x="44461908" y="2484040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216</xdr:col>
      <xdr:colOff>0</xdr:colOff>
      <xdr:row>121</xdr:row>
      <xdr:rowOff>63502</xdr:rowOff>
    </xdr:from>
    <xdr:to>
      <xdr:col>216</xdr:col>
      <xdr:colOff>158751</xdr:colOff>
      <xdr:row>122</xdr:row>
      <xdr:rowOff>0</xdr:rowOff>
    </xdr:to>
    <xdr:sp macro="" textlink="">
      <xdr:nvSpPr>
        <xdr:cNvPr id="14376" name="Arrow: Bent 14375">
          <a:extLst>
            <a:ext uri="{FF2B5EF4-FFF2-40B4-BE49-F238E27FC236}">
              <a16:creationId xmlns:a16="http://schemas.microsoft.com/office/drawing/2014/main" id="{8EF3A74F-48E6-4B4D-B64F-5002853D02C8}"/>
            </a:ext>
          </a:extLst>
        </xdr:cNvPr>
        <xdr:cNvSpPr/>
      </xdr:nvSpPr>
      <xdr:spPr>
        <a:xfrm rot="5400000">
          <a:off x="45462033" y="2503884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221</xdr:col>
      <xdr:colOff>-1</xdr:colOff>
      <xdr:row>122</xdr:row>
      <xdr:rowOff>0</xdr:rowOff>
    </xdr:from>
    <xdr:to>
      <xdr:col>222</xdr:col>
      <xdr:colOff>7937</xdr:colOff>
      <xdr:row>123</xdr:row>
      <xdr:rowOff>7938</xdr:rowOff>
    </xdr:to>
    <xdr:sp macro="" textlink="">
      <xdr:nvSpPr>
        <xdr:cNvPr id="14377" name="Arrow: Bent 14376">
          <a:extLst>
            <a:ext uri="{FF2B5EF4-FFF2-40B4-BE49-F238E27FC236}">
              <a16:creationId xmlns:a16="http://schemas.microsoft.com/office/drawing/2014/main" id="{FEE55DB0-9396-4893-983C-B2AC14760FA1}"/>
            </a:ext>
          </a:extLst>
        </xdr:cNvPr>
        <xdr:cNvSpPr/>
      </xdr:nvSpPr>
      <xdr:spPr>
        <a:xfrm rot="5400000">
          <a:off x="46267687" y="25201563"/>
          <a:ext cx="206375" cy="174625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226</xdr:col>
      <xdr:colOff>0</xdr:colOff>
      <xdr:row>126</xdr:row>
      <xdr:rowOff>63501</xdr:rowOff>
    </xdr:from>
    <xdr:to>
      <xdr:col>227</xdr:col>
      <xdr:colOff>-1</xdr:colOff>
      <xdr:row>128</xdr:row>
      <xdr:rowOff>2</xdr:rowOff>
    </xdr:to>
    <xdr:sp macro="" textlink="">
      <xdr:nvSpPr>
        <xdr:cNvPr id="14378" name="Arrow: Bent 14377">
          <a:extLst>
            <a:ext uri="{FF2B5EF4-FFF2-40B4-BE49-F238E27FC236}">
              <a16:creationId xmlns:a16="http://schemas.microsoft.com/office/drawing/2014/main" id="{7F99212D-B585-4332-8F10-CAD8A3CD50CA}"/>
            </a:ext>
          </a:extLst>
        </xdr:cNvPr>
        <xdr:cNvSpPr/>
      </xdr:nvSpPr>
      <xdr:spPr>
        <a:xfrm rot="5400000">
          <a:off x="47033656" y="26126283"/>
          <a:ext cx="333376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228</xdr:col>
      <xdr:colOff>1</xdr:colOff>
      <xdr:row>128</xdr:row>
      <xdr:rowOff>63501</xdr:rowOff>
    </xdr:from>
    <xdr:to>
      <xdr:col>228</xdr:col>
      <xdr:colOff>142875</xdr:colOff>
      <xdr:row>128</xdr:row>
      <xdr:rowOff>190503</xdr:rowOff>
    </xdr:to>
    <xdr:sp macro="" textlink="">
      <xdr:nvSpPr>
        <xdr:cNvPr id="14379" name="Arrow: Bent 14378">
          <a:extLst>
            <a:ext uri="{FF2B5EF4-FFF2-40B4-BE49-F238E27FC236}">
              <a16:creationId xmlns:a16="http://schemas.microsoft.com/office/drawing/2014/main" id="{D1CFF686-3F25-4ED4-9ADC-6A630C8CF888}"/>
            </a:ext>
          </a:extLst>
        </xdr:cNvPr>
        <xdr:cNvSpPr/>
      </xdr:nvSpPr>
      <xdr:spPr>
        <a:xfrm rot="5400000">
          <a:off x="47458312" y="26431878"/>
          <a:ext cx="127002" cy="142874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230</xdr:col>
      <xdr:colOff>0</xdr:colOff>
      <xdr:row>130</xdr:row>
      <xdr:rowOff>63501</xdr:rowOff>
    </xdr:from>
    <xdr:to>
      <xdr:col>230</xdr:col>
      <xdr:colOff>158751</xdr:colOff>
      <xdr:row>131</xdr:row>
      <xdr:rowOff>0</xdr:rowOff>
    </xdr:to>
    <xdr:sp macro="" textlink="">
      <xdr:nvSpPr>
        <xdr:cNvPr id="14380" name="Arrow: Bent 14379">
          <a:extLst>
            <a:ext uri="{FF2B5EF4-FFF2-40B4-BE49-F238E27FC236}">
              <a16:creationId xmlns:a16="http://schemas.microsoft.com/office/drawing/2014/main" id="{9B103C0E-F9BF-417C-97C5-16138E12436B}"/>
            </a:ext>
          </a:extLst>
        </xdr:cNvPr>
        <xdr:cNvSpPr/>
      </xdr:nvSpPr>
      <xdr:spPr>
        <a:xfrm rot="5400000">
          <a:off x="47795658" y="2682478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233</xdr:col>
      <xdr:colOff>0</xdr:colOff>
      <xdr:row>131</xdr:row>
      <xdr:rowOff>63502</xdr:rowOff>
    </xdr:from>
    <xdr:to>
      <xdr:col>233</xdr:col>
      <xdr:colOff>158751</xdr:colOff>
      <xdr:row>132</xdr:row>
      <xdr:rowOff>0</xdr:rowOff>
    </xdr:to>
    <xdr:sp macro="" textlink="">
      <xdr:nvSpPr>
        <xdr:cNvPr id="14381" name="Arrow: Bent 14380">
          <a:extLst>
            <a:ext uri="{FF2B5EF4-FFF2-40B4-BE49-F238E27FC236}">
              <a16:creationId xmlns:a16="http://schemas.microsoft.com/office/drawing/2014/main" id="{C47F63D6-B43D-42BC-A7E1-F8DDBE66568F}"/>
            </a:ext>
          </a:extLst>
        </xdr:cNvPr>
        <xdr:cNvSpPr/>
      </xdr:nvSpPr>
      <xdr:spPr>
        <a:xfrm rot="5400000">
          <a:off x="48295721" y="2702321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235</xdr:col>
      <xdr:colOff>0</xdr:colOff>
      <xdr:row>132</xdr:row>
      <xdr:rowOff>63501</xdr:rowOff>
    </xdr:from>
    <xdr:to>
      <xdr:col>235</xdr:col>
      <xdr:colOff>158751</xdr:colOff>
      <xdr:row>133</xdr:row>
      <xdr:rowOff>0</xdr:rowOff>
    </xdr:to>
    <xdr:sp macro="" textlink="">
      <xdr:nvSpPr>
        <xdr:cNvPr id="14382" name="Arrow: Bent 14381">
          <a:extLst>
            <a:ext uri="{FF2B5EF4-FFF2-40B4-BE49-F238E27FC236}">
              <a16:creationId xmlns:a16="http://schemas.microsoft.com/office/drawing/2014/main" id="{23E79CA8-3FA9-4232-B448-807CDF68F630}"/>
            </a:ext>
          </a:extLst>
        </xdr:cNvPr>
        <xdr:cNvSpPr/>
      </xdr:nvSpPr>
      <xdr:spPr>
        <a:xfrm rot="5400000">
          <a:off x="48629096" y="2722165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239</xdr:col>
      <xdr:colOff>0</xdr:colOff>
      <xdr:row>133</xdr:row>
      <xdr:rowOff>63502</xdr:rowOff>
    </xdr:from>
    <xdr:to>
      <xdr:col>239</xdr:col>
      <xdr:colOff>158751</xdr:colOff>
      <xdr:row>134</xdr:row>
      <xdr:rowOff>0</xdr:rowOff>
    </xdr:to>
    <xdr:sp macro="" textlink="">
      <xdr:nvSpPr>
        <xdr:cNvPr id="14383" name="Arrow: Bent 14382">
          <a:extLst>
            <a:ext uri="{FF2B5EF4-FFF2-40B4-BE49-F238E27FC236}">
              <a16:creationId xmlns:a16="http://schemas.microsoft.com/office/drawing/2014/main" id="{C5C812AB-AA79-4480-9A6A-9FA4C63B9C69}"/>
            </a:ext>
          </a:extLst>
        </xdr:cNvPr>
        <xdr:cNvSpPr/>
      </xdr:nvSpPr>
      <xdr:spPr>
        <a:xfrm rot="5400000">
          <a:off x="49295846" y="2742009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245</xdr:col>
      <xdr:colOff>0</xdr:colOff>
      <xdr:row>134</xdr:row>
      <xdr:rowOff>63501</xdr:rowOff>
    </xdr:from>
    <xdr:to>
      <xdr:col>245</xdr:col>
      <xdr:colOff>158751</xdr:colOff>
      <xdr:row>135</xdr:row>
      <xdr:rowOff>0</xdr:rowOff>
    </xdr:to>
    <xdr:sp macro="" textlink="">
      <xdr:nvSpPr>
        <xdr:cNvPr id="14384" name="Arrow: Bent 14383">
          <a:extLst>
            <a:ext uri="{FF2B5EF4-FFF2-40B4-BE49-F238E27FC236}">
              <a16:creationId xmlns:a16="http://schemas.microsoft.com/office/drawing/2014/main" id="{C9463734-5FAA-4A7E-813C-3210C9AD8049}"/>
            </a:ext>
          </a:extLst>
        </xdr:cNvPr>
        <xdr:cNvSpPr/>
      </xdr:nvSpPr>
      <xdr:spPr>
        <a:xfrm rot="5400000">
          <a:off x="50295971" y="2761853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249</xdr:col>
      <xdr:colOff>0</xdr:colOff>
      <xdr:row>135</xdr:row>
      <xdr:rowOff>63502</xdr:rowOff>
    </xdr:from>
    <xdr:to>
      <xdr:col>249</xdr:col>
      <xdr:colOff>158751</xdr:colOff>
      <xdr:row>136</xdr:row>
      <xdr:rowOff>0</xdr:rowOff>
    </xdr:to>
    <xdr:sp macro="" textlink="">
      <xdr:nvSpPr>
        <xdr:cNvPr id="14385" name="Arrow: Bent 14384">
          <a:extLst>
            <a:ext uri="{FF2B5EF4-FFF2-40B4-BE49-F238E27FC236}">
              <a16:creationId xmlns:a16="http://schemas.microsoft.com/office/drawing/2014/main" id="{B5AE66F8-FCC0-443D-9BD1-DF78F0033860}"/>
            </a:ext>
          </a:extLst>
        </xdr:cNvPr>
        <xdr:cNvSpPr/>
      </xdr:nvSpPr>
      <xdr:spPr>
        <a:xfrm rot="5400000">
          <a:off x="50962721" y="2781696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251</xdr:col>
      <xdr:colOff>0</xdr:colOff>
      <xdr:row>136</xdr:row>
      <xdr:rowOff>63501</xdr:rowOff>
    </xdr:from>
    <xdr:to>
      <xdr:col>251</xdr:col>
      <xdr:colOff>158751</xdr:colOff>
      <xdr:row>137</xdr:row>
      <xdr:rowOff>0</xdr:rowOff>
    </xdr:to>
    <xdr:sp macro="" textlink="">
      <xdr:nvSpPr>
        <xdr:cNvPr id="14386" name="Arrow: Bent 14385">
          <a:extLst>
            <a:ext uri="{FF2B5EF4-FFF2-40B4-BE49-F238E27FC236}">
              <a16:creationId xmlns:a16="http://schemas.microsoft.com/office/drawing/2014/main" id="{8128CF3C-C553-4DB3-91BE-86968067386E}"/>
            </a:ext>
          </a:extLst>
        </xdr:cNvPr>
        <xdr:cNvSpPr/>
      </xdr:nvSpPr>
      <xdr:spPr>
        <a:xfrm rot="5400000">
          <a:off x="51296096" y="2801540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253</xdr:col>
      <xdr:colOff>0</xdr:colOff>
      <xdr:row>137</xdr:row>
      <xdr:rowOff>63502</xdr:rowOff>
    </xdr:from>
    <xdr:to>
      <xdr:col>253</xdr:col>
      <xdr:colOff>142875</xdr:colOff>
      <xdr:row>138</xdr:row>
      <xdr:rowOff>3</xdr:rowOff>
    </xdr:to>
    <xdr:sp macro="" textlink="">
      <xdr:nvSpPr>
        <xdr:cNvPr id="14387" name="Arrow: Bent 14386">
          <a:extLst>
            <a:ext uri="{FF2B5EF4-FFF2-40B4-BE49-F238E27FC236}">
              <a16:creationId xmlns:a16="http://schemas.microsoft.com/office/drawing/2014/main" id="{67B1F0CD-F85E-497F-A942-32F81CE722E6}"/>
            </a:ext>
          </a:extLst>
        </xdr:cNvPr>
        <xdr:cNvSpPr/>
      </xdr:nvSpPr>
      <xdr:spPr>
        <a:xfrm rot="5400000">
          <a:off x="51621531" y="28221784"/>
          <a:ext cx="134939" cy="142875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260</xdr:col>
      <xdr:colOff>0</xdr:colOff>
      <xdr:row>139</xdr:row>
      <xdr:rowOff>63502</xdr:rowOff>
    </xdr:from>
    <xdr:to>
      <xdr:col>260</xdr:col>
      <xdr:colOff>158751</xdr:colOff>
      <xdr:row>140</xdr:row>
      <xdr:rowOff>0</xdr:rowOff>
    </xdr:to>
    <xdr:sp macro="" textlink="">
      <xdr:nvSpPr>
        <xdr:cNvPr id="14388" name="Arrow: Bent 14387">
          <a:extLst>
            <a:ext uri="{FF2B5EF4-FFF2-40B4-BE49-F238E27FC236}">
              <a16:creationId xmlns:a16="http://schemas.microsoft.com/office/drawing/2014/main" id="{EA6CC0CA-F21C-47E1-955F-83C2C3412B5F}"/>
            </a:ext>
          </a:extLst>
        </xdr:cNvPr>
        <xdr:cNvSpPr/>
      </xdr:nvSpPr>
      <xdr:spPr>
        <a:xfrm rot="5400000">
          <a:off x="52796283" y="2861071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265</xdr:col>
      <xdr:colOff>0</xdr:colOff>
      <xdr:row>140</xdr:row>
      <xdr:rowOff>63501</xdr:rowOff>
    </xdr:from>
    <xdr:to>
      <xdr:col>265</xdr:col>
      <xdr:colOff>158751</xdr:colOff>
      <xdr:row>141</xdr:row>
      <xdr:rowOff>0</xdr:rowOff>
    </xdr:to>
    <xdr:sp macro="" textlink="">
      <xdr:nvSpPr>
        <xdr:cNvPr id="14389" name="Arrow: Bent 14388">
          <a:extLst>
            <a:ext uri="{FF2B5EF4-FFF2-40B4-BE49-F238E27FC236}">
              <a16:creationId xmlns:a16="http://schemas.microsoft.com/office/drawing/2014/main" id="{6BD33C5D-8592-4CB4-9E0F-FA1F03997B94}"/>
            </a:ext>
          </a:extLst>
        </xdr:cNvPr>
        <xdr:cNvSpPr/>
      </xdr:nvSpPr>
      <xdr:spPr>
        <a:xfrm rot="5400000">
          <a:off x="53629721" y="2880915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271</xdr:col>
      <xdr:colOff>0</xdr:colOff>
      <xdr:row>141</xdr:row>
      <xdr:rowOff>63502</xdr:rowOff>
    </xdr:from>
    <xdr:to>
      <xdr:col>271</xdr:col>
      <xdr:colOff>158751</xdr:colOff>
      <xdr:row>142</xdr:row>
      <xdr:rowOff>0</xdr:rowOff>
    </xdr:to>
    <xdr:sp macro="" textlink="">
      <xdr:nvSpPr>
        <xdr:cNvPr id="14390" name="Arrow: Bent 14389">
          <a:extLst>
            <a:ext uri="{FF2B5EF4-FFF2-40B4-BE49-F238E27FC236}">
              <a16:creationId xmlns:a16="http://schemas.microsoft.com/office/drawing/2014/main" id="{61B26571-39ED-4E2B-A5D7-913842465B2C}"/>
            </a:ext>
          </a:extLst>
        </xdr:cNvPr>
        <xdr:cNvSpPr/>
      </xdr:nvSpPr>
      <xdr:spPr>
        <a:xfrm rot="5400000">
          <a:off x="54629846" y="2900759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273</xdr:col>
      <xdr:colOff>-1</xdr:colOff>
      <xdr:row>143</xdr:row>
      <xdr:rowOff>63502</xdr:rowOff>
    </xdr:from>
    <xdr:to>
      <xdr:col>273</xdr:col>
      <xdr:colOff>166686</xdr:colOff>
      <xdr:row>144</xdr:row>
      <xdr:rowOff>23815</xdr:rowOff>
    </xdr:to>
    <xdr:sp macro="" textlink="">
      <xdr:nvSpPr>
        <xdr:cNvPr id="14391" name="Arrow: Bent 14390">
          <a:extLst>
            <a:ext uri="{FF2B5EF4-FFF2-40B4-BE49-F238E27FC236}">
              <a16:creationId xmlns:a16="http://schemas.microsoft.com/office/drawing/2014/main" id="{F3889FA3-C653-43BE-AC09-E667AA90DA78}"/>
            </a:ext>
          </a:extLst>
        </xdr:cNvPr>
        <xdr:cNvSpPr/>
      </xdr:nvSpPr>
      <xdr:spPr>
        <a:xfrm rot="5400000">
          <a:off x="54955280" y="29412409"/>
          <a:ext cx="158751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281</xdr:col>
      <xdr:colOff>0</xdr:colOff>
      <xdr:row>146</xdr:row>
      <xdr:rowOff>63501</xdr:rowOff>
    </xdr:from>
    <xdr:to>
      <xdr:col>281</xdr:col>
      <xdr:colOff>158751</xdr:colOff>
      <xdr:row>147</xdr:row>
      <xdr:rowOff>0</xdr:rowOff>
    </xdr:to>
    <xdr:sp macro="" textlink="">
      <xdr:nvSpPr>
        <xdr:cNvPr id="14392" name="Arrow: Bent 14391">
          <a:extLst>
            <a:ext uri="{FF2B5EF4-FFF2-40B4-BE49-F238E27FC236}">
              <a16:creationId xmlns:a16="http://schemas.microsoft.com/office/drawing/2014/main" id="{C4E564F1-917D-49DA-87E2-6249BA90DE7C}"/>
            </a:ext>
          </a:extLst>
        </xdr:cNvPr>
        <xdr:cNvSpPr/>
      </xdr:nvSpPr>
      <xdr:spPr>
        <a:xfrm rot="5400000">
          <a:off x="56296721" y="2999978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287</xdr:col>
      <xdr:colOff>0</xdr:colOff>
      <xdr:row>147</xdr:row>
      <xdr:rowOff>63502</xdr:rowOff>
    </xdr:from>
    <xdr:to>
      <xdr:col>287</xdr:col>
      <xdr:colOff>158751</xdr:colOff>
      <xdr:row>148</xdr:row>
      <xdr:rowOff>0</xdr:rowOff>
    </xdr:to>
    <xdr:sp macro="" textlink="">
      <xdr:nvSpPr>
        <xdr:cNvPr id="14393" name="Arrow: Bent 14392">
          <a:extLst>
            <a:ext uri="{FF2B5EF4-FFF2-40B4-BE49-F238E27FC236}">
              <a16:creationId xmlns:a16="http://schemas.microsoft.com/office/drawing/2014/main" id="{1781E40E-128C-495F-9CAE-5E41F465DC6B}"/>
            </a:ext>
          </a:extLst>
        </xdr:cNvPr>
        <xdr:cNvSpPr/>
      </xdr:nvSpPr>
      <xdr:spPr>
        <a:xfrm rot="5400000">
          <a:off x="57296846" y="3019821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292</xdr:col>
      <xdr:colOff>0</xdr:colOff>
      <xdr:row>148</xdr:row>
      <xdr:rowOff>63501</xdr:rowOff>
    </xdr:from>
    <xdr:to>
      <xdr:col>292</xdr:col>
      <xdr:colOff>158751</xdr:colOff>
      <xdr:row>149</xdr:row>
      <xdr:rowOff>0</xdr:rowOff>
    </xdr:to>
    <xdr:sp macro="" textlink="">
      <xdr:nvSpPr>
        <xdr:cNvPr id="14394" name="Arrow: Bent 14393">
          <a:extLst>
            <a:ext uri="{FF2B5EF4-FFF2-40B4-BE49-F238E27FC236}">
              <a16:creationId xmlns:a16="http://schemas.microsoft.com/office/drawing/2014/main" id="{D46BE02C-CC77-4F13-8A3E-51F491DE2654}"/>
            </a:ext>
          </a:extLst>
        </xdr:cNvPr>
        <xdr:cNvSpPr/>
      </xdr:nvSpPr>
      <xdr:spPr>
        <a:xfrm rot="5400000">
          <a:off x="58130283" y="3039665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299</xdr:col>
      <xdr:colOff>0</xdr:colOff>
      <xdr:row>149</xdr:row>
      <xdr:rowOff>63502</xdr:rowOff>
    </xdr:from>
    <xdr:to>
      <xdr:col>299</xdr:col>
      <xdr:colOff>158751</xdr:colOff>
      <xdr:row>150</xdr:row>
      <xdr:rowOff>0</xdr:rowOff>
    </xdr:to>
    <xdr:sp macro="" textlink="">
      <xdr:nvSpPr>
        <xdr:cNvPr id="14395" name="Arrow: Bent 14394">
          <a:extLst>
            <a:ext uri="{FF2B5EF4-FFF2-40B4-BE49-F238E27FC236}">
              <a16:creationId xmlns:a16="http://schemas.microsoft.com/office/drawing/2014/main" id="{65E94113-4695-454C-A789-4D65D61F365A}"/>
            </a:ext>
          </a:extLst>
        </xdr:cNvPr>
        <xdr:cNvSpPr/>
      </xdr:nvSpPr>
      <xdr:spPr>
        <a:xfrm rot="5400000">
          <a:off x="59297096" y="3059509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303</xdr:col>
      <xdr:colOff>-1</xdr:colOff>
      <xdr:row>150</xdr:row>
      <xdr:rowOff>63501</xdr:rowOff>
    </xdr:from>
    <xdr:to>
      <xdr:col>304</xdr:col>
      <xdr:colOff>7937</xdr:colOff>
      <xdr:row>157</xdr:row>
      <xdr:rowOff>182563</xdr:rowOff>
    </xdr:to>
    <xdr:sp macro="" textlink="">
      <xdr:nvSpPr>
        <xdr:cNvPr id="14396" name="Arrow: Bent 14395">
          <a:extLst>
            <a:ext uri="{FF2B5EF4-FFF2-40B4-BE49-F238E27FC236}">
              <a16:creationId xmlns:a16="http://schemas.microsoft.com/office/drawing/2014/main" id="{AA3B1D60-A562-490F-8932-30C8B2500D90}"/>
            </a:ext>
          </a:extLst>
        </xdr:cNvPr>
        <xdr:cNvSpPr/>
      </xdr:nvSpPr>
      <xdr:spPr>
        <a:xfrm rot="5400000">
          <a:off x="59285188" y="31472188"/>
          <a:ext cx="1508124" cy="174625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309</xdr:col>
      <xdr:colOff>0</xdr:colOff>
      <xdr:row>159</xdr:row>
      <xdr:rowOff>63502</xdr:rowOff>
    </xdr:from>
    <xdr:to>
      <xdr:col>309</xdr:col>
      <xdr:colOff>158751</xdr:colOff>
      <xdr:row>160</xdr:row>
      <xdr:rowOff>0</xdr:rowOff>
    </xdr:to>
    <xdr:sp macro="" textlink="">
      <xdr:nvSpPr>
        <xdr:cNvPr id="14397" name="Arrow: Bent 14396">
          <a:extLst>
            <a:ext uri="{FF2B5EF4-FFF2-40B4-BE49-F238E27FC236}">
              <a16:creationId xmlns:a16="http://schemas.microsoft.com/office/drawing/2014/main" id="{95B21817-03FC-411B-85CD-4ABF8A46B580}"/>
            </a:ext>
          </a:extLst>
        </xdr:cNvPr>
        <xdr:cNvSpPr/>
      </xdr:nvSpPr>
      <xdr:spPr>
        <a:xfrm rot="5400000">
          <a:off x="60963971" y="3257946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317</xdr:col>
      <xdr:colOff>0</xdr:colOff>
      <xdr:row>160</xdr:row>
      <xdr:rowOff>63501</xdr:rowOff>
    </xdr:from>
    <xdr:to>
      <xdr:col>317</xdr:col>
      <xdr:colOff>158751</xdr:colOff>
      <xdr:row>161</xdr:row>
      <xdr:rowOff>0</xdr:rowOff>
    </xdr:to>
    <xdr:sp macro="" textlink="">
      <xdr:nvSpPr>
        <xdr:cNvPr id="14398" name="Arrow: Bent 14397">
          <a:extLst>
            <a:ext uri="{FF2B5EF4-FFF2-40B4-BE49-F238E27FC236}">
              <a16:creationId xmlns:a16="http://schemas.microsoft.com/office/drawing/2014/main" id="{3BAA8CE9-AC8F-4D68-B60B-C665137D9BB8}"/>
            </a:ext>
          </a:extLst>
        </xdr:cNvPr>
        <xdr:cNvSpPr/>
      </xdr:nvSpPr>
      <xdr:spPr>
        <a:xfrm rot="5400000">
          <a:off x="62297471" y="3277790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425</xdr:col>
      <xdr:colOff>0</xdr:colOff>
      <xdr:row>192</xdr:row>
      <xdr:rowOff>63501</xdr:rowOff>
    </xdr:from>
    <xdr:to>
      <xdr:col>425</xdr:col>
      <xdr:colOff>158751</xdr:colOff>
      <xdr:row>193</xdr:row>
      <xdr:rowOff>0</xdr:rowOff>
    </xdr:to>
    <xdr:sp macro="" textlink="">
      <xdr:nvSpPr>
        <xdr:cNvPr id="14399" name="Arrow: Bent 14398">
          <a:extLst>
            <a:ext uri="{FF2B5EF4-FFF2-40B4-BE49-F238E27FC236}">
              <a16:creationId xmlns:a16="http://schemas.microsoft.com/office/drawing/2014/main" id="{FAD2255B-8BF7-4326-902E-7E0C6AF6C338}"/>
            </a:ext>
          </a:extLst>
        </xdr:cNvPr>
        <xdr:cNvSpPr/>
      </xdr:nvSpPr>
      <xdr:spPr>
        <a:xfrm rot="5400000">
          <a:off x="80299721" y="3912790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420</xdr:col>
      <xdr:colOff>7935</xdr:colOff>
      <xdr:row>191</xdr:row>
      <xdr:rowOff>0</xdr:rowOff>
    </xdr:from>
    <xdr:to>
      <xdr:col>421</xdr:col>
      <xdr:colOff>-1</xdr:colOff>
      <xdr:row>192</xdr:row>
      <xdr:rowOff>1</xdr:rowOff>
    </xdr:to>
    <xdr:sp macro="" textlink="">
      <xdr:nvSpPr>
        <xdr:cNvPr id="14400" name="Arrow: Bent 14399">
          <a:extLst>
            <a:ext uri="{FF2B5EF4-FFF2-40B4-BE49-F238E27FC236}">
              <a16:creationId xmlns:a16="http://schemas.microsoft.com/office/drawing/2014/main" id="{F645FA9B-DC50-404E-9537-B338BC8E6EE4}"/>
            </a:ext>
          </a:extLst>
        </xdr:cNvPr>
        <xdr:cNvSpPr/>
      </xdr:nvSpPr>
      <xdr:spPr>
        <a:xfrm rot="5400000">
          <a:off x="79442466" y="38897719"/>
          <a:ext cx="198439" cy="158752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410</xdr:col>
      <xdr:colOff>0</xdr:colOff>
      <xdr:row>188</xdr:row>
      <xdr:rowOff>63501</xdr:rowOff>
    </xdr:from>
    <xdr:to>
      <xdr:col>410</xdr:col>
      <xdr:colOff>158749</xdr:colOff>
      <xdr:row>189</xdr:row>
      <xdr:rowOff>7941</xdr:rowOff>
    </xdr:to>
    <xdr:sp macro="" textlink="">
      <xdr:nvSpPr>
        <xdr:cNvPr id="14401" name="Arrow: Bent 14400">
          <a:extLst>
            <a:ext uri="{FF2B5EF4-FFF2-40B4-BE49-F238E27FC236}">
              <a16:creationId xmlns:a16="http://schemas.microsoft.com/office/drawing/2014/main" id="{F10C6FB9-93B5-45C7-AFC9-E3F1AF0A46CD}"/>
            </a:ext>
          </a:extLst>
        </xdr:cNvPr>
        <xdr:cNvSpPr/>
      </xdr:nvSpPr>
      <xdr:spPr>
        <a:xfrm rot="5400000">
          <a:off x="77795436" y="38338128"/>
          <a:ext cx="142877" cy="158749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405</xdr:col>
      <xdr:colOff>-1</xdr:colOff>
      <xdr:row>187</xdr:row>
      <xdr:rowOff>0</xdr:rowOff>
    </xdr:from>
    <xdr:to>
      <xdr:col>405</xdr:col>
      <xdr:colOff>166686</xdr:colOff>
      <xdr:row>188</xdr:row>
      <xdr:rowOff>1</xdr:rowOff>
    </xdr:to>
    <xdr:sp macro="" textlink="">
      <xdr:nvSpPr>
        <xdr:cNvPr id="14402" name="Arrow: Bent 14401">
          <a:extLst>
            <a:ext uri="{FF2B5EF4-FFF2-40B4-BE49-F238E27FC236}">
              <a16:creationId xmlns:a16="http://schemas.microsoft.com/office/drawing/2014/main" id="{9061E261-A509-4D8E-9ECF-317FEA2C7638}"/>
            </a:ext>
          </a:extLst>
        </xdr:cNvPr>
        <xdr:cNvSpPr/>
      </xdr:nvSpPr>
      <xdr:spPr>
        <a:xfrm rot="5400000">
          <a:off x="76938186" y="38100001"/>
          <a:ext cx="198439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401</xdr:col>
      <xdr:colOff>0</xdr:colOff>
      <xdr:row>185</xdr:row>
      <xdr:rowOff>63502</xdr:rowOff>
    </xdr:from>
    <xdr:to>
      <xdr:col>401</xdr:col>
      <xdr:colOff>158751</xdr:colOff>
      <xdr:row>186</xdr:row>
      <xdr:rowOff>0</xdr:rowOff>
    </xdr:to>
    <xdr:sp macro="" textlink="">
      <xdr:nvSpPr>
        <xdr:cNvPr id="14403" name="Arrow: Bent 14402">
          <a:extLst>
            <a:ext uri="{FF2B5EF4-FFF2-40B4-BE49-F238E27FC236}">
              <a16:creationId xmlns:a16="http://schemas.microsoft.com/office/drawing/2014/main" id="{1F89BB05-0734-4B1B-9008-B8D9EA2C4A0E}"/>
            </a:ext>
          </a:extLst>
        </xdr:cNvPr>
        <xdr:cNvSpPr/>
      </xdr:nvSpPr>
      <xdr:spPr>
        <a:xfrm rot="5400000">
          <a:off x="76299221" y="3773884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395</xdr:col>
      <xdr:colOff>-1</xdr:colOff>
      <xdr:row>182</xdr:row>
      <xdr:rowOff>63501</xdr:rowOff>
    </xdr:from>
    <xdr:to>
      <xdr:col>396</xdr:col>
      <xdr:colOff>39687</xdr:colOff>
      <xdr:row>183</xdr:row>
      <xdr:rowOff>3</xdr:rowOff>
    </xdr:to>
    <xdr:sp macro="" textlink="">
      <xdr:nvSpPr>
        <xdr:cNvPr id="14404" name="Arrow: Bent 14403">
          <a:extLst>
            <a:ext uri="{FF2B5EF4-FFF2-40B4-BE49-F238E27FC236}">
              <a16:creationId xmlns:a16="http://schemas.microsoft.com/office/drawing/2014/main" id="{F761906F-5750-4EB6-A61E-C20EA57FB2BD}"/>
            </a:ext>
          </a:extLst>
        </xdr:cNvPr>
        <xdr:cNvSpPr/>
      </xdr:nvSpPr>
      <xdr:spPr>
        <a:xfrm rot="5400000">
          <a:off x="75322905" y="37119721"/>
          <a:ext cx="134939" cy="206375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393</xdr:col>
      <xdr:colOff>0</xdr:colOff>
      <xdr:row>180</xdr:row>
      <xdr:rowOff>63501</xdr:rowOff>
    </xdr:from>
    <xdr:to>
      <xdr:col>393</xdr:col>
      <xdr:colOff>158751</xdr:colOff>
      <xdr:row>181</xdr:row>
      <xdr:rowOff>0</xdr:rowOff>
    </xdr:to>
    <xdr:sp macro="" textlink="">
      <xdr:nvSpPr>
        <xdr:cNvPr id="14405" name="Arrow: Bent 14404">
          <a:extLst>
            <a:ext uri="{FF2B5EF4-FFF2-40B4-BE49-F238E27FC236}">
              <a16:creationId xmlns:a16="http://schemas.microsoft.com/office/drawing/2014/main" id="{D6FB965A-113E-4FB0-A5E5-C04BB5B2A333}"/>
            </a:ext>
          </a:extLst>
        </xdr:cNvPr>
        <xdr:cNvSpPr/>
      </xdr:nvSpPr>
      <xdr:spPr>
        <a:xfrm rot="5400000">
          <a:off x="74965721" y="3674665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390</xdr:col>
      <xdr:colOff>0</xdr:colOff>
      <xdr:row>179</xdr:row>
      <xdr:rowOff>63502</xdr:rowOff>
    </xdr:from>
    <xdr:to>
      <xdr:col>390</xdr:col>
      <xdr:colOff>158751</xdr:colOff>
      <xdr:row>180</xdr:row>
      <xdr:rowOff>0</xdr:rowOff>
    </xdr:to>
    <xdr:sp macro="" textlink="">
      <xdr:nvSpPr>
        <xdr:cNvPr id="14406" name="Arrow: Bent 14405">
          <a:extLst>
            <a:ext uri="{FF2B5EF4-FFF2-40B4-BE49-F238E27FC236}">
              <a16:creationId xmlns:a16="http://schemas.microsoft.com/office/drawing/2014/main" id="{CFD8388C-7BAB-4C78-AC90-22C8BBB268AF}"/>
            </a:ext>
          </a:extLst>
        </xdr:cNvPr>
        <xdr:cNvSpPr/>
      </xdr:nvSpPr>
      <xdr:spPr>
        <a:xfrm rot="5400000">
          <a:off x="74465658" y="3654821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382</xdr:col>
      <xdr:colOff>0</xdr:colOff>
      <xdr:row>178</xdr:row>
      <xdr:rowOff>63501</xdr:rowOff>
    </xdr:from>
    <xdr:to>
      <xdr:col>382</xdr:col>
      <xdr:colOff>158751</xdr:colOff>
      <xdr:row>179</xdr:row>
      <xdr:rowOff>0</xdr:rowOff>
    </xdr:to>
    <xdr:sp macro="" textlink="">
      <xdr:nvSpPr>
        <xdr:cNvPr id="14407" name="Arrow: Bent 14406">
          <a:extLst>
            <a:ext uri="{FF2B5EF4-FFF2-40B4-BE49-F238E27FC236}">
              <a16:creationId xmlns:a16="http://schemas.microsoft.com/office/drawing/2014/main" id="{3458A5BC-E43A-4F40-9C8A-438BCFDC3C38}"/>
            </a:ext>
          </a:extLst>
        </xdr:cNvPr>
        <xdr:cNvSpPr/>
      </xdr:nvSpPr>
      <xdr:spPr>
        <a:xfrm rot="5400000">
          <a:off x="73132158" y="3634978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378</xdr:col>
      <xdr:colOff>0</xdr:colOff>
      <xdr:row>176</xdr:row>
      <xdr:rowOff>63503</xdr:rowOff>
    </xdr:from>
    <xdr:to>
      <xdr:col>379</xdr:col>
      <xdr:colOff>0</xdr:colOff>
      <xdr:row>177</xdr:row>
      <xdr:rowOff>4</xdr:rowOff>
    </xdr:to>
    <xdr:sp macro="" textlink="">
      <xdr:nvSpPr>
        <xdr:cNvPr id="14408" name="Arrow: Bent 14407">
          <a:extLst>
            <a:ext uri="{FF2B5EF4-FFF2-40B4-BE49-F238E27FC236}">
              <a16:creationId xmlns:a16="http://schemas.microsoft.com/office/drawing/2014/main" id="{EA62F06D-1A59-4BFC-ADDE-EB4486625C02}"/>
            </a:ext>
          </a:extLst>
        </xdr:cNvPr>
        <xdr:cNvSpPr/>
      </xdr:nvSpPr>
      <xdr:spPr>
        <a:xfrm rot="5400000">
          <a:off x="72469375" y="35948941"/>
          <a:ext cx="134938" cy="166688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371</xdr:col>
      <xdr:colOff>0</xdr:colOff>
      <xdr:row>173</xdr:row>
      <xdr:rowOff>63503</xdr:rowOff>
    </xdr:from>
    <xdr:to>
      <xdr:col>371</xdr:col>
      <xdr:colOff>158750</xdr:colOff>
      <xdr:row>174</xdr:row>
      <xdr:rowOff>7941</xdr:rowOff>
    </xdr:to>
    <xdr:sp macro="" textlink="">
      <xdr:nvSpPr>
        <xdr:cNvPr id="14409" name="Arrow: Bent 14408">
          <a:extLst>
            <a:ext uri="{FF2B5EF4-FFF2-40B4-BE49-F238E27FC236}">
              <a16:creationId xmlns:a16="http://schemas.microsoft.com/office/drawing/2014/main" id="{D2C39362-5457-4154-91F4-6886AD85EAEF}"/>
            </a:ext>
          </a:extLst>
        </xdr:cNvPr>
        <xdr:cNvSpPr/>
      </xdr:nvSpPr>
      <xdr:spPr>
        <a:xfrm rot="5400000">
          <a:off x="71294625" y="35361566"/>
          <a:ext cx="142876" cy="158750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366</xdr:col>
      <xdr:colOff>0</xdr:colOff>
      <xdr:row>171</xdr:row>
      <xdr:rowOff>63502</xdr:rowOff>
    </xdr:from>
    <xdr:to>
      <xdr:col>366</xdr:col>
      <xdr:colOff>158751</xdr:colOff>
      <xdr:row>172</xdr:row>
      <xdr:rowOff>0</xdr:rowOff>
    </xdr:to>
    <xdr:sp macro="" textlink="">
      <xdr:nvSpPr>
        <xdr:cNvPr id="14410" name="Arrow: Bent 14409">
          <a:extLst>
            <a:ext uri="{FF2B5EF4-FFF2-40B4-BE49-F238E27FC236}">
              <a16:creationId xmlns:a16="http://schemas.microsoft.com/office/drawing/2014/main" id="{6F6E0342-9B92-467A-99D6-8955D2A38D63}"/>
            </a:ext>
          </a:extLst>
        </xdr:cNvPr>
        <xdr:cNvSpPr/>
      </xdr:nvSpPr>
      <xdr:spPr>
        <a:xfrm rot="5400000">
          <a:off x="70465158" y="3496071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353</xdr:col>
      <xdr:colOff>0</xdr:colOff>
      <xdr:row>170</xdr:row>
      <xdr:rowOff>63501</xdr:rowOff>
    </xdr:from>
    <xdr:to>
      <xdr:col>353</xdr:col>
      <xdr:colOff>158751</xdr:colOff>
      <xdr:row>171</xdr:row>
      <xdr:rowOff>0</xdr:rowOff>
    </xdr:to>
    <xdr:sp macro="" textlink="">
      <xdr:nvSpPr>
        <xdr:cNvPr id="14411" name="Arrow: Bent 14410">
          <a:extLst>
            <a:ext uri="{FF2B5EF4-FFF2-40B4-BE49-F238E27FC236}">
              <a16:creationId xmlns:a16="http://schemas.microsoft.com/office/drawing/2014/main" id="{0EE27E53-74AB-4866-900C-C7C0A2FCD9D4}"/>
            </a:ext>
          </a:extLst>
        </xdr:cNvPr>
        <xdr:cNvSpPr/>
      </xdr:nvSpPr>
      <xdr:spPr>
        <a:xfrm rot="5400000">
          <a:off x="68298221" y="3476228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347</xdr:col>
      <xdr:colOff>0</xdr:colOff>
      <xdr:row>169</xdr:row>
      <xdr:rowOff>63502</xdr:rowOff>
    </xdr:from>
    <xdr:to>
      <xdr:col>347</xdr:col>
      <xdr:colOff>158751</xdr:colOff>
      <xdr:row>170</xdr:row>
      <xdr:rowOff>0</xdr:rowOff>
    </xdr:to>
    <xdr:sp macro="" textlink="">
      <xdr:nvSpPr>
        <xdr:cNvPr id="14412" name="Arrow: Bent 14411">
          <a:extLst>
            <a:ext uri="{FF2B5EF4-FFF2-40B4-BE49-F238E27FC236}">
              <a16:creationId xmlns:a16="http://schemas.microsoft.com/office/drawing/2014/main" id="{700157E3-33BF-405C-B256-94089DA1A513}"/>
            </a:ext>
          </a:extLst>
        </xdr:cNvPr>
        <xdr:cNvSpPr/>
      </xdr:nvSpPr>
      <xdr:spPr>
        <a:xfrm rot="5400000">
          <a:off x="67298096" y="3456384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343</xdr:col>
      <xdr:colOff>0</xdr:colOff>
      <xdr:row>168</xdr:row>
      <xdr:rowOff>63501</xdr:rowOff>
    </xdr:from>
    <xdr:to>
      <xdr:col>343</xdr:col>
      <xdr:colOff>158751</xdr:colOff>
      <xdr:row>169</xdr:row>
      <xdr:rowOff>0</xdr:rowOff>
    </xdr:to>
    <xdr:sp macro="" textlink="">
      <xdr:nvSpPr>
        <xdr:cNvPr id="14413" name="Arrow: Bent 14412">
          <a:extLst>
            <a:ext uri="{FF2B5EF4-FFF2-40B4-BE49-F238E27FC236}">
              <a16:creationId xmlns:a16="http://schemas.microsoft.com/office/drawing/2014/main" id="{53097EE8-E31E-4D90-85E8-9B1DAE41ABCC}"/>
            </a:ext>
          </a:extLst>
        </xdr:cNvPr>
        <xdr:cNvSpPr/>
      </xdr:nvSpPr>
      <xdr:spPr>
        <a:xfrm rot="5400000">
          <a:off x="66631346" y="3436540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341</xdr:col>
      <xdr:colOff>0</xdr:colOff>
      <xdr:row>167</xdr:row>
      <xdr:rowOff>63502</xdr:rowOff>
    </xdr:from>
    <xdr:to>
      <xdr:col>341</xdr:col>
      <xdr:colOff>158751</xdr:colOff>
      <xdr:row>168</xdr:row>
      <xdr:rowOff>0</xdr:rowOff>
    </xdr:to>
    <xdr:sp macro="" textlink="">
      <xdr:nvSpPr>
        <xdr:cNvPr id="14414" name="Arrow: Bent 14413">
          <a:extLst>
            <a:ext uri="{FF2B5EF4-FFF2-40B4-BE49-F238E27FC236}">
              <a16:creationId xmlns:a16="http://schemas.microsoft.com/office/drawing/2014/main" id="{9FE92562-3AA7-404F-BAE4-CFF2D042D120}"/>
            </a:ext>
          </a:extLst>
        </xdr:cNvPr>
        <xdr:cNvSpPr/>
      </xdr:nvSpPr>
      <xdr:spPr>
        <a:xfrm rot="5400000">
          <a:off x="66297971" y="34166969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337</xdr:col>
      <xdr:colOff>0</xdr:colOff>
      <xdr:row>166</xdr:row>
      <xdr:rowOff>63501</xdr:rowOff>
    </xdr:from>
    <xdr:to>
      <xdr:col>337</xdr:col>
      <xdr:colOff>158751</xdr:colOff>
      <xdr:row>167</xdr:row>
      <xdr:rowOff>0</xdr:rowOff>
    </xdr:to>
    <xdr:sp macro="" textlink="">
      <xdr:nvSpPr>
        <xdr:cNvPr id="14415" name="Arrow: Bent 14414">
          <a:extLst>
            <a:ext uri="{FF2B5EF4-FFF2-40B4-BE49-F238E27FC236}">
              <a16:creationId xmlns:a16="http://schemas.microsoft.com/office/drawing/2014/main" id="{BFF577F1-8CE6-4CE3-AA79-189BC30B25CF}"/>
            </a:ext>
          </a:extLst>
        </xdr:cNvPr>
        <xdr:cNvSpPr/>
      </xdr:nvSpPr>
      <xdr:spPr>
        <a:xfrm rot="5400000">
          <a:off x="65631221" y="3396853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328</xdr:col>
      <xdr:colOff>1</xdr:colOff>
      <xdr:row>164</xdr:row>
      <xdr:rowOff>63501</xdr:rowOff>
    </xdr:from>
    <xdr:to>
      <xdr:col>328</xdr:col>
      <xdr:colOff>142875</xdr:colOff>
      <xdr:row>165</xdr:row>
      <xdr:rowOff>23816</xdr:rowOff>
    </xdr:to>
    <xdr:sp macro="" textlink="">
      <xdr:nvSpPr>
        <xdr:cNvPr id="14416" name="Arrow: Bent 14415">
          <a:extLst>
            <a:ext uri="{FF2B5EF4-FFF2-40B4-BE49-F238E27FC236}">
              <a16:creationId xmlns:a16="http://schemas.microsoft.com/office/drawing/2014/main" id="{C76D4ADA-B2DC-4F76-843C-5BA392499374}"/>
            </a:ext>
          </a:extLst>
        </xdr:cNvPr>
        <xdr:cNvSpPr/>
      </xdr:nvSpPr>
      <xdr:spPr>
        <a:xfrm rot="5400000">
          <a:off x="64111187" y="33591503"/>
          <a:ext cx="158752" cy="142874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327</xdr:col>
      <xdr:colOff>0</xdr:colOff>
      <xdr:row>162</xdr:row>
      <xdr:rowOff>63501</xdr:rowOff>
    </xdr:from>
    <xdr:to>
      <xdr:col>327</xdr:col>
      <xdr:colOff>166686</xdr:colOff>
      <xdr:row>164</xdr:row>
      <xdr:rowOff>2</xdr:rowOff>
    </xdr:to>
    <xdr:sp macro="" textlink="">
      <xdr:nvSpPr>
        <xdr:cNvPr id="14417" name="Arrow: Bent 14416">
          <a:extLst>
            <a:ext uri="{FF2B5EF4-FFF2-40B4-BE49-F238E27FC236}">
              <a16:creationId xmlns:a16="http://schemas.microsoft.com/office/drawing/2014/main" id="{0C1746F0-22F8-491B-8C2F-F99BED7F841E}"/>
            </a:ext>
          </a:extLst>
        </xdr:cNvPr>
        <xdr:cNvSpPr/>
      </xdr:nvSpPr>
      <xdr:spPr>
        <a:xfrm rot="5400000">
          <a:off x="63869093" y="33270034"/>
          <a:ext cx="333376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322</xdr:col>
      <xdr:colOff>0</xdr:colOff>
      <xdr:row>161</xdr:row>
      <xdr:rowOff>63502</xdr:rowOff>
    </xdr:from>
    <xdr:to>
      <xdr:col>322</xdr:col>
      <xdr:colOff>158751</xdr:colOff>
      <xdr:row>162</xdr:row>
      <xdr:rowOff>0</xdr:rowOff>
    </xdr:to>
    <xdr:sp macro="" textlink="">
      <xdr:nvSpPr>
        <xdr:cNvPr id="14418" name="Arrow: Bent 14417">
          <a:extLst>
            <a:ext uri="{FF2B5EF4-FFF2-40B4-BE49-F238E27FC236}">
              <a16:creationId xmlns:a16="http://schemas.microsoft.com/office/drawing/2014/main" id="{9D64A1B2-8889-4402-B4EB-8389FFE2F931}"/>
            </a:ext>
          </a:extLst>
        </xdr:cNvPr>
        <xdr:cNvSpPr/>
      </xdr:nvSpPr>
      <xdr:spPr>
        <a:xfrm rot="5400000">
          <a:off x="63130908" y="32976344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420</xdr:col>
      <xdr:colOff>0</xdr:colOff>
      <xdr:row>190</xdr:row>
      <xdr:rowOff>63501</xdr:rowOff>
    </xdr:from>
    <xdr:to>
      <xdr:col>421</xdr:col>
      <xdr:colOff>-1</xdr:colOff>
      <xdr:row>192</xdr:row>
      <xdr:rowOff>2</xdr:rowOff>
    </xdr:to>
    <xdr:sp macro="" textlink="">
      <xdr:nvSpPr>
        <xdr:cNvPr id="14420" name="Arrow: Bent 14419">
          <a:extLst>
            <a:ext uri="{FF2B5EF4-FFF2-40B4-BE49-F238E27FC236}">
              <a16:creationId xmlns:a16="http://schemas.microsoft.com/office/drawing/2014/main" id="{45CA6B33-818B-4C36-B326-ACB694B73DF4}"/>
            </a:ext>
          </a:extLst>
        </xdr:cNvPr>
        <xdr:cNvSpPr/>
      </xdr:nvSpPr>
      <xdr:spPr>
        <a:xfrm rot="5400000">
          <a:off x="79371031" y="38826283"/>
          <a:ext cx="333376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405</xdr:col>
      <xdr:colOff>0</xdr:colOff>
      <xdr:row>186</xdr:row>
      <xdr:rowOff>63501</xdr:rowOff>
    </xdr:from>
    <xdr:to>
      <xdr:col>405</xdr:col>
      <xdr:colOff>166686</xdr:colOff>
      <xdr:row>188</xdr:row>
      <xdr:rowOff>2</xdr:rowOff>
    </xdr:to>
    <xdr:sp macro="" textlink="">
      <xdr:nvSpPr>
        <xdr:cNvPr id="14421" name="Arrow: Bent 14420">
          <a:extLst>
            <a:ext uri="{FF2B5EF4-FFF2-40B4-BE49-F238E27FC236}">
              <a16:creationId xmlns:a16="http://schemas.microsoft.com/office/drawing/2014/main" id="{2EF8CD52-150E-4C4E-B43B-9615D6CBF8F1}"/>
            </a:ext>
          </a:extLst>
        </xdr:cNvPr>
        <xdr:cNvSpPr/>
      </xdr:nvSpPr>
      <xdr:spPr>
        <a:xfrm rot="5400000">
          <a:off x="76870718" y="38032534"/>
          <a:ext cx="333376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171</xdr:col>
      <xdr:colOff>0</xdr:colOff>
      <xdr:row>110</xdr:row>
      <xdr:rowOff>63501</xdr:rowOff>
    </xdr:from>
    <xdr:to>
      <xdr:col>171</xdr:col>
      <xdr:colOff>166686</xdr:colOff>
      <xdr:row>112</xdr:row>
      <xdr:rowOff>2</xdr:rowOff>
    </xdr:to>
    <xdr:sp macro="" textlink="">
      <xdr:nvSpPr>
        <xdr:cNvPr id="14422" name="Arrow: Bent 14421">
          <a:extLst>
            <a:ext uri="{FF2B5EF4-FFF2-40B4-BE49-F238E27FC236}">
              <a16:creationId xmlns:a16="http://schemas.microsoft.com/office/drawing/2014/main" id="{58220061-1D1C-4046-80FD-AC7B89B75336}"/>
            </a:ext>
          </a:extLst>
        </xdr:cNvPr>
        <xdr:cNvSpPr/>
      </xdr:nvSpPr>
      <xdr:spPr>
        <a:xfrm rot="5400000">
          <a:off x="37865843" y="22951284"/>
          <a:ext cx="333376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142</xdr:col>
      <xdr:colOff>0</xdr:colOff>
      <xdr:row>93</xdr:row>
      <xdr:rowOff>63501</xdr:rowOff>
    </xdr:from>
    <xdr:to>
      <xdr:col>143</xdr:col>
      <xdr:colOff>-1</xdr:colOff>
      <xdr:row>95</xdr:row>
      <xdr:rowOff>1</xdr:rowOff>
    </xdr:to>
    <xdr:sp macro="" textlink="">
      <xdr:nvSpPr>
        <xdr:cNvPr id="14423" name="Arrow: Bent 14422">
          <a:extLst>
            <a:ext uri="{FF2B5EF4-FFF2-40B4-BE49-F238E27FC236}">
              <a16:creationId xmlns:a16="http://schemas.microsoft.com/office/drawing/2014/main" id="{C84BD50F-A898-4391-BB53-E15B5364B9B4}"/>
            </a:ext>
          </a:extLst>
        </xdr:cNvPr>
        <xdr:cNvSpPr/>
      </xdr:nvSpPr>
      <xdr:spPr>
        <a:xfrm rot="5400000">
          <a:off x="33031906" y="19577845"/>
          <a:ext cx="333375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104</xdr:col>
      <xdr:colOff>166686</xdr:colOff>
      <xdr:row>61</xdr:row>
      <xdr:rowOff>63504</xdr:rowOff>
    </xdr:from>
    <xdr:to>
      <xdr:col>106</xdr:col>
      <xdr:colOff>23812</xdr:colOff>
      <xdr:row>68</xdr:row>
      <xdr:rowOff>3</xdr:rowOff>
    </xdr:to>
    <xdr:sp macro="" textlink="">
      <xdr:nvSpPr>
        <xdr:cNvPr id="14426" name="Arrow: Bent 14425">
          <a:extLst>
            <a:ext uri="{FF2B5EF4-FFF2-40B4-BE49-F238E27FC236}">
              <a16:creationId xmlns:a16="http://schemas.microsoft.com/office/drawing/2014/main" id="{A9EC7B2D-15E6-4253-8F14-849B150BDAA0}"/>
            </a:ext>
          </a:extLst>
        </xdr:cNvPr>
        <xdr:cNvSpPr/>
      </xdr:nvSpPr>
      <xdr:spPr>
        <a:xfrm rot="5400000">
          <a:off x="26380281" y="13712034"/>
          <a:ext cx="1325562" cy="19050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109</xdr:col>
      <xdr:colOff>0</xdr:colOff>
      <xdr:row>65</xdr:row>
      <xdr:rowOff>63501</xdr:rowOff>
    </xdr:from>
    <xdr:to>
      <xdr:col>109</xdr:col>
      <xdr:colOff>166686</xdr:colOff>
      <xdr:row>67</xdr:row>
      <xdr:rowOff>1</xdr:rowOff>
    </xdr:to>
    <xdr:sp macro="" textlink="">
      <xdr:nvSpPr>
        <xdr:cNvPr id="14428" name="Arrow: Bent 14427">
          <a:extLst>
            <a:ext uri="{FF2B5EF4-FFF2-40B4-BE49-F238E27FC236}">
              <a16:creationId xmlns:a16="http://schemas.microsoft.com/office/drawing/2014/main" id="{0997A52C-0457-4044-BC11-3CF34978C706}"/>
            </a:ext>
          </a:extLst>
        </xdr:cNvPr>
        <xdr:cNvSpPr/>
      </xdr:nvSpPr>
      <xdr:spPr>
        <a:xfrm rot="5400000">
          <a:off x="27531218" y="14021596"/>
          <a:ext cx="333375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99</xdr:col>
      <xdr:colOff>0</xdr:colOff>
      <xdr:row>55</xdr:row>
      <xdr:rowOff>63501</xdr:rowOff>
    </xdr:from>
    <xdr:to>
      <xdr:col>99</xdr:col>
      <xdr:colOff>166686</xdr:colOff>
      <xdr:row>57</xdr:row>
      <xdr:rowOff>1</xdr:rowOff>
    </xdr:to>
    <xdr:sp macro="" textlink="">
      <xdr:nvSpPr>
        <xdr:cNvPr id="14429" name="Arrow: Bent 14428">
          <a:extLst>
            <a:ext uri="{FF2B5EF4-FFF2-40B4-BE49-F238E27FC236}">
              <a16:creationId xmlns:a16="http://schemas.microsoft.com/office/drawing/2014/main" id="{B1BAD8C8-887F-41BE-A4F4-A588EAA6C69B}"/>
            </a:ext>
          </a:extLst>
        </xdr:cNvPr>
        <xdr:cNvSpPr/>
      </xdr:nvSpPr>
      <xdr:spPr>
        <a:xfrm rot="5400000">
          <a:off x="25864343" y="12037221"/>
          <a:ext cx="333375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95</xdr:col>
      <xdr:colOff>0</xdr:colOff>
      <xdr:row>51</xdr:row>
      <xdr:rowOff>63501</xdr:rowOff>
    </xdr:from>
    <xdr:to>
      <xdr:col>95</xdr:col>
      <xdr:colOff>166686</xdr:colOff>
      <xdr:row>53</xdr:row>
      <xdr:rowOff>1</xdr:rowOff>
    </xdr:to>
    <xdr:sp macro="" textlink="">
      <xdr:nvSpPr>
        <xdr:cNvPr id="14430" name="Arrow: Bent 14429">
          <a:extLst>
            <a:ext uri="{FF2B5EF4-FFF2-40B4-BE49-F238E27FC236}">
              <a16:creationId xmlns:a16="http://schemas.microsoft.com/office/drawing/2014/main" id="{19282F68-9D36-4132-B293-862F501B3D00}"/>
            </a:ext>
          </a:extLst>
        </xdr:cNvPr>
        <xdr:cNvSpPr/>
      </xdr:nvSpPr>
      <xdr:spPr>
        <a:xfrm rot="5400000">
          <a:off x="25197593" y="11243471"/>
          <a:ext cx="333375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0</xdr:colOff>
      <xdr:row>14</xdr:row>
      <xdr:rowOff>63501</xdr:rowOff>
    </xdr:from>
    <xdr:to>
      <xdr:col>25</xdr:col>
      <xdr:colOff>-1</xdr:colOff>
      <xdr:row>16</xdr:row>
      <xdr:rowOff>2</xdr:rowOff>
    </xdr:to>
    <xdr:sp macro="" textlink="">
      <xdr:nvSpPr>
        <xdr:cNvPr id="14431" name="Arrow: Bent 14430">
          <a:extLst>
            <a:ext uri="{FF2B5EF4-FFF2-40B4-BE49-F238E27FC236}">
              <a16:creationId xmlns:a16="http://schemas.microsoft.com/office/drawing/2014/main" id="{3554FDA0-A720-447A-A6F8-DAD4C5320F67}"/>
            </a:ext>
          </a:extLst>
        </xdr:cNvPr>
        <xdr:cNvSpPr/>
      </xdr:nvSpPr>
      <xdr:spPr>
        <a:xfrm rot="5400000">
          <a:off x="13362781" y="3901283"/>
          <a:ext cx="333376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109</xdr:col>
      <xdr:colOff>0</xdr:colOff>
      <xdr:row>70</xdr:row>
      <xdr:rowOff>63501</xdr:rowOff>
    </xdr:from>
    <xdr:to>
      <xdr:col>109</xdr:col>
      <xdr:colOff>158751</xdr:colOff>
      <xdr:row>71</xdr:row>
      <xdr:rowOff>0</xdr:rowOff>
    </xdr:to>
    <xdr:sp macro="" textlink="">
      <xdr:nvSpPr>
        <xdr:cNvPr id="14432" name="Arrow: Bent 14431">
          <a:extLst>
            <a:ext uri="{FF2B5EF4-FFF2-40B4-BE49-F238E27FC236}">
              <a16:creationId xmlns:a16="http://schemas.microsoft.com/office/drawing/2014/main" id="{AFC279D1-EA62-4BCA-B201-5966623FC715}"/>
            </a:ext>
          </a:extLst>
        </xdr:cNvPr>
        <xdr:cNvSpPr/>
      </xdr:nvSpPr>
      <xdr:spPr>
        <a:xfrm rot="5400000">
          <a:off x="27626471" y="14918531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109</xdr:col>
      <xdr:colOff>0</xdr:colOff>
      <xdr:row>69</xdr:row>
      <xdr:rowOff>63501</xdr:rowOff>
    </xdr:from>
    <xdr:to>
      <xdr:col>109</xdr:col>
      <xdr:colOff>166686</xdr:colOff>
      <xdr:row>71</xdr:row>
      <xdr:rowOff>1</xdr:rowOff>
    </xdr:to>
    <xdr:sp macro="" textlink="">
      <xdr:nvSpPr>
        <xdr:cNvPr id="14433" name="Arrow: Bent 14432">
          <a:extLst>
            <a:ext uri="{FF2B5EF4-FFF2-40B4-BE49-F238E27FC236}">
              <a16:creationId xmlns:a16="http://schemas.microsoft.com/office/drawing/2014/main" id="{8949CB11-9A23-43E3-8F4A-0930C4F96E62}"/>
            </a:ext>
          </a:extLst>
        </xdr:cNvPr>
        <xdr:cNvSpPr/>
      </xdr:nvSpPr>
      <xdr:spPr>
        <a:xfrm rot="5400000">
          <a:off x="27531218" y="14815346"/>
          <a:ext cx="333375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127</xdr:col>
      <xdr:colOff>0</xdr:colOff>
      <xdr:row>84</xdr:row>
      <xdr:rowOff>63501</xdr:rowOff>
    </xdr:from>
    <xdr:to>
      <xdr:col>127</xdr:col>
      <xdr:colOff>158751</xdr:colOff>
      <xdr:row>85</xdr:row>
      <xdr:rowOff>0</xdr:rowOff>
    </xdr:to>
    <xdr:sp macro="" textlink="">
      <xdr:nvSpPr>
        <xdr:cNvPr id="14434" name="Arrow: Bent 14433">
          <a:extLst>
            <a:ext uri="{FF2B5EF4-FFF2-40B4-BE49-F238E27FC236}">
              <a16:creationId xmlns:a16="http://schemas.microsoft.com/office/drawing/2014/main" id="{72F97C14-4568-44D9-BF4F-FB9A1837A042}"/>
            </a:ext>
          </a:extLst>
        </xdr:cNvPr>
        <xdr:cNvSpPr/>
      </xdr:nvSpPr>
      <xdr:spPr>
        <a:xfrm rot="5400000">
          <a:off x="30626846" y="17696656"/>
          <a:ext cx="134936" cy="15875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127</xdr:col>
      <xdr:colOff>0</xdr:colOff>
      <xdr:row>83</xdr:row>
      <xdr:rowOff>63501</xdr:rowOff>
    </xdr:from>
    <xdr:to>
      <xdr:col>127</xdr:col>
      <xdr:colOff>166686</xdr:colOff>
      <xdr:row>85</xdr:row>
      <xdr:rowOff>1</xdr:rowOff>
    </xdr:to>
    <xdr:sp macro="" textlink="">
      <xdr:nvSpPr>
        <xdr:cNvPr id="14435" name="Arrow: Bent 14434">
          <a:extLst>
            <a:ext uri="{FF2B5EF4-FFF2-40B4-BE49-F238E27FC236}">
              <a16:creationId xmlns:a16="http://schemas.microsoft.com/office/drawing/2014/main" id="{E301E7F9-1F61-40E0-9665-179718DF8591}"/>
            </a:ext>
          </a:extLst>
        </xdr:cNvPr>
        <xdr:cNvSpPr/>
      </xdr:nvSpPr>
      <xdr:spPr>
        <a:xfrm rot="5400000">
          <a:off x="30531593" y="17593471"/>
          <a:ext cx="333375" cy="166686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132</xdr:col>
      <xdr:colOff>0</xdr:colOff>
      <xdr:row>85</xdr:row>
      <xdr:rowOff>63502</xdr:rowOff>
    </xdr:from>
    <xdr:to>
      <xdr:col>133</xdr:col>
      <xdr:colOff>-1</xdr:colOff>
      <xdr:row>90</xdr:row>
      <xdr:rowOff>2</xdr:rowOff>
    </xdr:to>
    <xdr:sp macro="" textlink="">
      <xdr:nvSpPr>
        <xdr:cNvPr id="14436" name="Arrow: Bent 14435">
          <a:extLst>
            <a:ext uri="{FF2B5EF4-FFF2-40B4-BE49-F238E27FC236}">
              <a16:creationId xmlns:a16="http://schemas.microsoft.com/office/drawing/2014/main" id="{CCFF08B5-9A1B-4258-A4B8-64FFB8AA78E2}"/>
            </a:ext>
          </a:extLst>
        </xdr:cNvPr>
        <xdr:cNvSpPr/>
      </xdr:nvSpPr>
      <xdr:spPr>
        <a:xfrm rot="5400000">
          <a:off x="31067375" y="18288002"/>
          <a:ext cx="928688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150</xdr:col>
      <xdr:colOff>0</xdr:colOff>
      <xdr:row>96</xdr:row>
      <xdr:rowOff>63500</xdr:rowOff>
    </xdr:from>
    <xdr:to>
      <xdr:col>151</xdr:col>
      <xdr:colOff>-1</xdr:colOff>
      <xdr:row>103</xdr:row>
      <xdr:rowOff>1</xdr:rowOff>
    </xdr:to>
    <xdr:sp macro="" textlink="">
      <xdr:nvSpPr>
        <xdr:cNvPr id="14437" name="Arrow: Bent 14436">
          <a:extLst>
            <a:ext uri="{FF2B5EF4-FFF2-40B4-BE49-F238E27FC236}">
              <a16:creationId xmlns:a16="http://schemas.microsoft.com/office/drawing/2014/main" id="{2ADEE0AA-78EA-4577-9016-6974D74CD54F}"/>
            </a:ext>
          </a:extLst>
        </xdr:cNvPr>
        <xdr:cNvSpPr/>
      </xdr:nvSpPr>
      <xdr:spPr>
        <a:xfrm rot="5400000">
          <a:off x="33869312" y="20669251"/>
          <a:ext cx="1325563" cy="166687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429</xdr:col>
      <xdr:colOff>15875</xdr:colOff>
      <xdr:row>192</xdr:row>
      <xdr:rowOff>198436</xdr:rowOff>
    </xdr:from>
    <xdr:to>
      <xdr:col>429</xdr:col>
      <xdr:colOff>142874</xdr:colOff>
      <xdr:row>198</xdr:row>
      <xdr:rowOff>190500</xdr:rowOff>
    </xdr:to>
    <xdr:sp macro="" textlink="">
      <xdr:nvSpPr>
        <xdr:cNvPr id="14439" name="Arrow: Down 14438">
          <a:extLst>
            <a:ext uri="{FF2B5EF4-FFF2-40B4-BE49-F238E27FC236}">
              <a16:creationId xmlns:a16="http://schemas.microsoft.com/office/drawing/2014/main" id="{F978EBFC-D4DE-7B2C-68AD-BEBE6B180F56}"/>
            </a:ext>
          </a:extLst>
        </xdr:cNvPr>
        <xdr:cNvSpPr/>
      </xdr:nvSpPr>
      <xdr:spPr>
        <a:xfrm>
          <a:off x="80970438" y="39274749"/>
          <a:ext cx="126999" cy="1182689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410</xdr:col>
      <xdr:colOff>79375</xdr:colOff>
      <xdr:row>190</xdr:row>
      <xdr:rowOff>0</xdr:rowOff>
    </xdr:from>
    <xdr:to>
      <xdr:col>411</xdr:col>
      <xdr:colOff>0</xdr:colOff>
      <xdr:row>191</xdr:row>
      <xdr:rowOff>39688</xdr:rowOff>
    </xdr:to>
    <xdr:sp macro="" textlink="">
      <xdr:nvSpPr>
        <xdr:cNvPr id="14440" name="Arrow: Down 14439">
          <a:extLst>
            <a:ext uri="{FF2B5EF4-FFF2-40B4-BE49-F238E27FC236}">
              <a16:creationId xmlns:a16="http://schemas.microsoft.com/office/drawing/2014/main" id="{0EA4431F-9FD6-42BB-91C0-4FF21CF671F0}"/>
            </a:ext>
          </a:extLst>
        </xdr:cNvPr>
        <xdr:cNvSpPr/>
      </xdr:nvSpPr>
      <xdr:spPr>
        <a:xfrm>
          <a:off x="77866875" y="38679438"/>
          <a:ext cx="87313" cy="23812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401</xdr:col>
      <xdr:colOff>79375</xdr:colOff>
      <xdr:row>186</xdr:row>
      <xdr:rowOff>0</xdr:rowOff>
    </xdr:from>
    <xdr:to>
      <xdr:col>402</xdr:col>
      <xdr:colOff>0</xdr:colOff>
      <xdr:row>187</xdr:row>
      <xdr:rowOff>71438</xdr:rowOff>
    </xdr:to>
    <xdr:sp macro="" textlink="">
      <xdr:nvSpPr>
        <xdr:cNvPr id="14441" name="Arrow: Down 14440">
          <a:extLst>
            <a:ext uri="{FF2B5EF4-FFF2-40B4-BE49-F238E27FC236}">
              <a16:creationId xmlns:a16="http://schemas.microsoft.com/office/drawing/2014/main" id="{B9AB3A2D-139E-47D0-89CA-DF3296FFB1A0}"/>
            </a:ext>
          </a:extLst>
        </xdr:cNvPr>
        <xdr:cNvSpPr/>
      </xdr:nvSpPr>
      <xdr:spPr>
        <a:xfrm>
          <a:off x="76366688" y="37885688"/>
          <a:ext cx="87312" cy="26987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0</xdr:colOff>
      <xdr:row>6</xdr:row>
      <xdr:rowOff>222250</xdr:rowOff>
    </xdr:from>
    <xdr:to>
      <xdr:col>12</xdr:col>
      <xdr:colOff>87313</xdr:colOff>
      <xdr:row>9</xdr:row>
      <xdr:rowOff>126999</xdr:rowOff>
    </xdr:to>
    <xdr:sp macro="" textlink="">
      <xdr:nvSpPr>
        <xdr:cNvPr id="14442" name="Arrow: Down 14441">
          <a:extLst>
            <a:ext uri="{FF2B5EF4-FFF2-40B4-BE49-F238E27FC236}">
              <a16:creationId xmlns:a16="http://schemas.microsoft.com/office/drawing/2014/main" id="{D4CDA738-59F4-4EE5-A525-3E7506D2A82E}"/>
            </a:ext>
          </a:extLst>
        </xdr:cNvPr>
        <xdr:cNvSpPr/>
      </xdr:nvSpPr>
      <xdr:spPr>
        <a:xfrm>
          <a:off x="11505821" y="1947175"/>
          <a:ext cx="87313" cy="530272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32</xdr:col>
      <xdr:colOff>79378</xdr:colOff>
      <xdr:row>20</xdr:row>
      <xdr:rowOff>23810</xdr:rowOff>
    </xdr:from>
    <xdr:to>
      <xdr:col>32</xdr:col>
      <xdr:colOff>158751</xdr:colOff>
      <xdr:row>22</xdr:row>
      <xdr:rowOff>23812</xdr:rowOff>
    </xdr:to>
    <xdr:sp macro="" textlink="">
      <xdr:nvSpPr>
        <xdr:cNvPr id="14444" name="Arrow: Down 14443">
          <a:extLst>
            <a:ext uri="{FF2B5EF4-FFF2-40B4-BE49-F238E27FC236}">
              <a16:creationId xmlns:a16="http://schemas.microsoft.com/office/drawing/2014/main" id="{5247628A-FA82-4A02-9E2F-D7C86C299B7D}"/>
            </a:ext>
          </a:extLst>
        </xdr:cNvPr>
        <xdr:cNvSpPr/>
      </xdr:nvSpPr>
      <xdr:spPr>
        <a:xfrm>
          <a:off x="14859003" y="4968873"/>
          <a:ext cx="79373" cy="39687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31</xdr:col>
      <xdr:colOff>23812</xdr:colOff>
      <xdr:row>18</xdr:row>
      <xdr:rowOff>7936</xdr:rowOff>
    </xdr:from>
    <xdr:to>
      <xdr:col>31</xdr:col>
      <xdr:colOff>119063</xdr:colOff>
      <xdr:row>19</xdr:row>
      <xdr:rowOff>7936</xdr:rowOff>
    </xdr:to>
    <xdr:sp macro="" textlink="">
      <xdr:nvSpPr>
        <xdr:cNvPr id="14445" name="Arrow: Down 14444">
          <a:extLst>
            <a:ext uri="{FF2B5EF4-FFF2-40B4-BE49-F238E27FC236}">
              <a16:creationId xmlns:a16="http://schemas.microsoft.com/office/drawing/2014/main" id="{F420EAD9-6BE8-4A71-A49C-E24286A813B0}"/>
            </a:ext>
          </a:extLst>
        </xdr:cNvPr>
        <xdr:cNvSpPr/>
      </xdr:nvSpPr>
      <xdr:spPr>
        <a:xfrm>
          <a:off x="14636750" y="4556124"/>
          <a:ext cx="95251" cy="1984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22</xdr:col>
      <xdr:colOff>95244</xdr:colOff>
      <xdr:row>13</xdr:row>
      <xdr:rowOff>190501</xdr:rowOff>
    </xdr:from>
    <xdr:to>
      <xdr:col>23</xdr:col>
      <xdr:colOff>23807</xdr:colOff>
      <xdr:row>14</xdr:row>
      <xdr:rowOff>190500</xdr:rowOff>
    </xdr:to>
    <xdr:sp macro="" textlink="">
      <xdr:nvSpPr>
        <xdr:cNvPr id="14447" name="Arrow: Down 14446">
          <a:extLst>
            <a:ext uri="{FF2B5EF4-FFF2-40B4-BE49-F238E27FC236}">
              <a16:creationId xmlns:a16="http://schemas.microsoft.com/office/drawing/2014/main" id="{45F71222-EF1B-4F6C-8C37-C2CA7F2E503D}"/>
            </a:ext>
          </a:extLst>
        </xdr:cNvPr>
        <xdr:cNvSpPr/>
      </xdr:nvSpPr>
      <xdr:spPr>
        <a:xfrm>
          <a:off x="13207994" y="3746501"/>
          <a:ext cx="95251" cy="1984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39</xdr:col>
      <xdr:colOff>79371</xdr:colOff>
      <xdr:row>25</xdr:row>
      <xdr:rowOff>0</xdr:rowOff>
    </xdr:from>
    <xdr:to>
      <xdr:col>40</xdr:col>
      <xdr:colOff>7935</xdr:colOff>
      <xdr:row>26</xdr:row>
      <xdr:rowOff>-1</xdr:rowOff>
    </xdr:to>
    <xdr:sp macro="" textlink="">
      <xdr:nvSpPr>
        <xdr:cNvPr id="14448" name="Arrow: Down 14447">
          <a:extLst>
            <a:ext uri="{FF2B5EF4-FFF2-40B4-BE49-F238E27FC236}">
              <a16:creationId xmlns:a16="http://schemas.microsoft.com/office/drawing/2014/main" id="{44856664-C8D0-4916-B4D3-21CD65A0B3DC}"/>
            </a:ext>
          </a:extLst>
        </xdr:cNvPr>
        <xdr:cNvSpPr/>
      </xdr:nvSpPr>
      <xdr:spPr>
        <a:xfrm>
          <a:off x="16025809" y="5937250"/>
          <a:ext cx="95251" cy="1984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45</xdr:col>
      <xdr:colOff>79375</xdr:colOff>
      <xdr:row>27</xdr:row>
      <xdr:rowOff>190501</xdr:rowOff>
    </xdr:from>
    <xdr:to>
      <xdr:col>46</xdr:col>
      <xdr:colOff>7939</xdr:colOff>
      <xdr:row>28</xdr:row>
      <xdr:rowOff>190500</xdr:rowOff>
    </xdr:to>
    <xdr:sp macro="" textlink="">
      <xdr:nvSpPr>
        <xdr:cNvPr id="14449" name="Arrow: Down 14448">
          <a:extLst>
            <a:ext uri="{FF2B5EF4-FFF2-40B4-BE49-F238E27FC236}">
              <a16:creationId xmlns:a16="http://schemas.microsoft.com/office/drawing/2014/main" id="{50B3EF3C-5963-45D3-B5D1-EEA5DBC54120}"/>
            </a:ext>
          </a:extLst>
        </xdr:cNvPr>
        <xdr:cNvSpPr/>
      </xdr:nvSpPr>
      <xdr:spPr>
        <a:xfrm>
          <a:off x="17025938" y="6524626"/>
          <a:ext cx="95251" cy="1984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71</xdr:col>
      <xdr:colOff>71435</xdr:colOff>
      <xdr:row>37</xdr:row>
      <xdr:rowOff>15875</xdr:rowOff>
    </xdr:from>
    <xdr:to>
      <xdr:col>71</xdr:col>
      <xdr:colOff>158750</xdr:colOff>
      <xdr:row>39</xdr:row>
      <xdr:rowOff>55563</xdr:rowOff>
    </xdr:to>
    <xdr:sp macro="" textlink="">
      <xdr:nvSpPr>
        <xdr:cNvPr id="14450" name="Arrow: Down 14449">
          <a:extLst>
            <a:ext uri="{FF2B5EF4-FFF2-40B4-BE49-F238E27FC236}">
              <a16:creationId xmlns:a16="http://schemas.microsoft.com/office/drawing/2014/main" id="{7C727614-5B50-4EB1-A3D5-6817EFFEDF5D}"/>
            </a:ext>
          </a:extLst>
        </xdr:cNvPr>
        <xdr:cNvSpPr/>
      </xdr:nvSpPr>
      <xdr:spPr>
        <a:xfrm>
          <a:off x="21351873" y="8334375"/>
          <a:ext cx="87315" cy="436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79</xdr:col>
      <xdr:colOff>39688</xdr:colOff>
      <xdr:row>40</xdr:row>
      <xdr:rowOff>0</xdr:rowOff>
    </xdr:from>
    <xdr:to>
      <xdr:col>79</xdr:col>
      <xdr:colOff>134939</xdr:colOff>
      <xdr:row>41</xdr:row>
      <xdr:rowOff>0</xdr:rowOff>
    </xdr:to>
    <xdr:sp macro="" textlink="">
      <xdr:nvSpPr>
        <xdr:cNvPr id="14451" name="Arrow: Down 14450">
          <a:extLst>
            <a:ext uri="{FF2B5EF4-FFF2-40B4-BE49-F238E27FC236}">
              <a16:creationId xmlns:a16="http://schemas.microsoft.com/office/drawing/2014/main" id="{E34DBB00-7AB5-4CC4-909F-275AECA82FC9}"/>
            </a:ext>
          </a:extLst>
        </xdr:cNvPr>
        <xdr:cNvSpPr/>
      </xdr:nvSpPr>
      <xdr:spPr>
        <a:xfrm>
          <a:off x="22653626" y="8913813"/>
          <a:ext cx="95251" cy="1984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80</xdr:col>
      <xdr:colOff>79377</xdr:colOff>
      <xdr:row>42</xdr:row>
      <xdr:rowOff>7936</xdr:rowOff>
    </xdr:from>
    <xdr:to>
      <xdr:col>81</xdr:col>
      <xdr:colOff>0</xdr:colOff>
      <xdr:row>44</xdr:row>
      <xdr:rowOff>71436</xdr:rowOff>
    </xdr:to>
    <xdr:sp macro="" textlink="">
      <xdr:nvSpPr>
        <xdr:cNvPr id="14452" name="Arrow: Down 14451">
          <a:extLst>
            <a:ext uri="{FF2B5EF4-FFF2-40B4-BE49-F238E27FC236}">
              <a16:creationId xmlns:a16="http://schemas.microsoft.com/office/drawing/2014/main" id="{2D9AA039-210E-4AC0-8646-CE3405273BA0}"/>
            </a:ext>
          </a:extLst>
        </xdr:cNvPr>
        <xdr:cNvSpPr/>
      </xdr:nvSpPr>
      <xdr:spPr>
        <a:xfrm>
          <a:off x="22860002" y="9318624"/>
          <a:ext cx="87311" cy="46037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93</xdr:col>
      <xdr:colOff>63504</xdr:colOff>
      <xdr:row>49</xdr:row>
      <xdr:rowOff>174625</xdr:rowOff>
    </xdr:from>
    <xdr:to>
      <xdr:col>93</xdr:col>
      <xdr:colOff>134937</xdr:colOff>
      <xdr:row>50</xdr:row>
      <xdr:rowOff>190500</xdr:rowOff>
    </xdr:to>
    <xdr:sp macro="" textlink="">
      <xdr:nvSpPr>
        <xdr:cNvPr id="14453" name="Arrow: Down 14452">
          <a:extLst>
            <a:ext uri="{FF2B5EF4-FFF2-40B4-BE49-F238E27FC236}">
              <a16:creationId xmlns:a16="http://schemas.microsoft.com/office/drawing/2014/main" id="{04C694EF-A05E-480F-BD32-A30B89022FAD}"/>
            </a:ext>
          </a:extLst>
        </xdr:cNvPr>
        <xdr:cNvSpPr/>
      </xdr:nvSpPr>
      <xdr:spPr>
        <a:xfrm>
          <a:off x="25011067" y="10874375"/>
          <a:ext cx="71433" cy="21431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93</xdr:col>
      <xdr:colOff>55566</xdr:colOff>
      <xdr:row>51</xdr:row>
      <xdr:rowOff>0</xdr:rowOff>
    </xdr:from>
    <xdr:to>
      <xdr:col>93</xdr:col>
      <xdr:colOff>134941</xdr:colOff>
      <xdr:row>52</xdr:row>
      <xdr:rowOff>-1</xdr:rowOff>
    </xdr:to>
    <xdr:sp macro="" textlink="">
      <xdr:nvSpPr>
        <xdr:cNvPr id="14454" name="Arrow: Down 14453">
          <a:extLst>
            <a:ext uri="{FF2B5EF4-FFF2-40B4-BE49-F238E27FC236}">
              <a16:creationId xmlns:a16="http://schemas.microsoft.com/office/drawing/2014/main" id="{115DD76A-6206-49E8-953F-FE05668D5689}"/>
            </a:ext>
          </a:extLst>
        </xdr:cNvPr>
        <xdr:cNvSpPr/>
      </xdr:nvSpPr>
      <xdr:spPr>
        <a:xfrm>
          <a:off x="25003129" y="11096625"/>
          <a:ext cx="79375" cy="1984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22</xdr:col>
      <xdr:colOff>95250</xdr:colOff>
      <xdr:row>12</xdr:row>
      <xdr:rowOff>190499</xdr:rowOff>
    </xdr:from>
    <xdr:to>
      <xdr:col>23</xdr:col>
      <xdr:colOff>23813</xdr:colOff>
      <xdr:row>13</xdr:row>
      <xdr:rowOff>190499</xdr:rowOff>
    </xdr:to>
    <xdr:sp macro="" textlink="">
      <xdr:nvSpPr>
        <xdr:cNvPr id="14455" name="Arrow: Down 14454">
          <a:extLst>
            <a:ext uri="{FF2B5EF4-FFF2-40B4-BE49-F238E27FC236}">
              <a16:creationId xmlns:a16="http://schemas.microsoft.com/office/drawing/2014/main" id="{7623FBF7-F7EB-4B4F-A94F-684023C16A5E}"/>
            </a:ext>
          </a:extLst>
        </xdr:cNvPr>
        <xdr:cNvSpPr/>
      </xdr:nvSpPr>
      <xdr:spPr>
        <a:xfrm>
          <a:off x="13208000" y="3548062"/>
          <a:ext cx="95251" cy="1984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97</xdr:col>
      <xdr:colOff>63501</xdr:colOff>
      <xdr:row>54</xdr:row>
      <xdr:rowOff>7937</xdr:rowOff>
    </xdr:from>
    <xdr:to>
      <xdr:col>97</xdr:col>
      <xdr:colOff>158751</xdr:colOff>
      <xdr:row>55</xdr:row>
      <xdr:rowOff>7938</xdr:rowOff>
    </xdr:to>
    <xdr:sp macro="" textlink="">
      <xdr:nvSpPr>
        <xdr:cNvPr id="14456" name="Arrow: Down 14455">
          <a:extLst>
            <a:ext uri="{FF2B5EF4-FFF2-40B4-BE49-F238E27FC236}">
              <a16:creationId xmlns:a16="http://schemas.microsoft.com/office/drawing/2014/main" id="{1187E59C-4FFE-4815-8B86-5BF319BA3C95}"/>
            </a:ext>
          </a:extLst>
        </xdr:cNvPr>
        <xdr:cNvSpPr/>
      </xdr:nvSpPr>
      <xdr:spPr>
        <a:xfrm>
          <a:off x="25677814" y="11699875"/>
          <a:ext cx="95250" cy="198438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97</xdr:col>
      <xdr:colOff>63501</xdr:colOff>
      <xdr:row>55</xdr:row>
      <xdr:rowOff>7938</xdr:rowOff>
    </xdr:from>
    <xdr:to>
      <xdr:col>98</xdr:col>
      <xdr:colOff>1</xdr:colOff>
      <xdr:row>56</xdr:row>
      <xdr:rowOff>47625</xdr:rowOff>
    </xdr:to>
    <xdr:sp macro="" textlink="">
      <xdr:nvSpPr>
        <xdr:cNvPr id="14457" name="Arrow: Down 14456">
          <a:extLst>
            <a:ext uri="{FF2B5EF4-FFF2-40B4-BE49-F238E27FC236}">
              <a16:creationId xmlns:a16="http://schemas.microsoft.com/office/drawing/2014/main" id="{001982B5-196D-4259-A29E-3740936D50CE}"/>
            </a:ext>
          </a:extLst>
        </xdr:cNvPr>
        <xdr:cNvSpPr/>
      </xdr:nvSpPr>
      <xdr:spPr>
        <a:xfrm>
          <a:off x="25677814" y="11898313"/>
          <a:ext cx="103187" cy="23812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101</xdr:col>
      <xdr:colOff>55562</xdr:colOff>
      <xdr:row>57</xdr:row>
      <xdr:rowOff>0</xdr:rowOff>
    </xdr:from>
    <xdr:to>
      <xdr:col>101</xdr:col>
      <xdr:colOff>150813</xdr:colOff>
      <xdr:row>58</xdr:row>
      <xdr:rowOff>-1</xdr:rowOff>
    </xdr:to>
    <xdr:sp macro="" textlink="">
      <xdr:nvSpPr>
        <xdr:cNvPr id="14458" name="Arrow: Down 14457">
          <a:extLst>
            <a:ext uri="{FF2B5EF4-FFF2-40B4-BE49-F238E27FC236}">
              <a16:creationId xmlns:a16="http://schemas.microsoft.com/office/drawing/2014/main" id="{9B6B97B8-71B7-4C9D-B41C-9EBB4805D34C}"/>
            </a:ext>
          </a:extLst>
        </xdr:cNvPr>
        <xdr:cNvSpPr/>
      </xdr:nvSpPr>
      <xdr:spPr>
        <a:xfrm>
          <a:off x="26336625" y="12287250"/>
          <a:ext cx="95251" cy="1984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102</xdr:col>
      <xdr:colOff>71439</xdr:colOff>
      <xdr:row>59</xdr:row>
      <xdr:rowOff>15875</xdr:rowOff>
    </xdr:from>
    <xdr:to>
      <xdr:col>102</xdr:col>
      <xdr:colOff>158751</xdr:colOff>
      <xdr:row>60</xdr:row>
      <xdr:rowOff>39687</xdr:rowOff>
    </xdr:to>
    <xdr:sp macro="" textlink="">
      <xdr:nvSpPr>
        <xdr:cNvPr id="14459" name="Arrow: Down 14458">
          <a:extLst>
            <a:ext uri="{FF2B5EF4-FFF2-40B4-BE49-F238E27FC236}">
              <a16:creationId xmlns:a16="http://schemas.microsoft.com/office/drawing/2014/main" id="{37B6DA1A-D1EE-431B-8146-756599DA19F2}"/>
            </a:ext>
          </a:extLst>
        </xdr:cNvPr>
        <xdr:cNvSpPr/>
      </xdr:nvSpPr>
      <xdr:spPr>
        <a:xfrm>
          <a:off x="26519189" y="12700000"/>
          <a:ext cx="87312" cy="222250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102</xdr:col>
      <xdr:colOff>71438</xdr:colOff>
      <xdr:row>60</xdr:row>
      <xdr:rowOff>23812</xdr:rowOff>
    </xdr:from>
    <xdr:to>
      <xdr:col>103</xdr:col>
      <xdr:colOff>0</xdr:colOff>
      <xdr:row>61</xdr:row>
      <xdr:rowOff>7938</xdr:rowOff>
    </xdr:to>
    <xdr:sp macro="" textlink="">
      <xdr:nvSpPr>
        <xdr:cNvPr id="14460" name="Arrow: Down 14459">
          <a:extLst>
            <a:ext uri="{FF2B5EF4-FFF2-40B4-BE49-F238E27FC236}">
              <a16:creationId xmlns:a16="http://schemas.microsoft.com/office/drawing/2014/main" id="{652A2587-AD5D-404F-A0FC-D823A79159AA}"/>
            </a:ext>
          </a:extLst>
        </xdr:cNvPr>
        <xdr:cNvSpPr/>
      </xdr:nvSpPr>
      <xdr:spPr>
        <a:xfrm>
          <a:off x="26519188" y="12906375"/>
          <a:ext cx="95250" cy="182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102</xdr:col>
      <xdr:colOff>71438</xdr:colOff>
      <xdr:row>60</xdr:row>
      <xdr:rowOff>190500</xdr:rowOff>
    </xdr:from>
    <xdr:to>
      <xdr:col>103</xdr:col>
      <xdr:colOff>0</xdr:colOff>
      <xdr:row>62</xdr:row>
      <xdr:rowOff>15875</xdr:rowOff>
    </xdr:to>
    <xdr:sp macro="" textlink="">
      <xdr:nvSpPr>
        <xdr:cNvPr id="14461" name="Arrow: Down 14460">
          <a:extLst>
            <a:ext uri="{FF2B5EF4-FFF2-40B4-BE49-F238E27FC236}">
              <a16:creationId xmlns:a16="http://schemas.microsoft.com/office/drawing/2014/main" id="{F445B08A-9733-4729-A18E-7F6A3B03C8F7}"/>
            </a:ext>
          </a:extLst>
        </xdr:cNvPr>
        <xdr:cNvSpPr/>
      </xdr:nvSpPr>
      <xdr:spPr>
        <a:xfrm>
          <a:off x="26519188" y="13073063"/>
          <a:ext cx="95250" cy="222250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102</xdr:col>
      <xdr:colOff>79375</xdr:colOff>
      <xdr:row>62</xdr:row>
      <xdr:rowOff>7937</xdr:rowOff>
    </xdr:from>
    <xdr:to>
      <xdr:col>103</xdr:col>
      <xdr:colOff>0</xdr:colOff>
      <xdr:row>63</xdr:row>
      <xdr:rowOff>23813</xdr:rowOff>
    </xdr:to>
    <xdr:sp macro="" textlink="">
      <xdr:nvSpPr>
        <xdr:cNvPr id="14462" name="Arrow: Down 14461">
          <a:extLst>
            <a:ext uri="{FF2B5EF4-FFF2-40B4-BE49-F238E27FC236}">
              <a16:creationId xmlns:a16="http://schemas.microsoft.com/office/drawing/2014/main" id="{DCF473E9-FCD8-415D-A459-5F1EBE2F414F}"/>
            </a:ext>
          </a:extLst>
        </xdr:cNvPr>
        <xdr:cNvSpPr/>
      </xdr:nvSpPr>
      <xdr:spPr>
        <a:xfrm>
          <a:off x="26527125" y="13287375"/>
          <a:ext cx="87313" cy="21431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106</xdr:col>
      <xdr:colOff>119063</xdr:colOff>
      <xdr:row>63</xdr:row>
      <xdr:rowOff>174626</xdr:rowOff>
    </xdr:from>
    <xdr:to>
      <xdr:col>107</xdr:col>
      <xdr:colOff>39687</xdr:colOff>
      <xdr:row>65</xdr:row>
      <xdr:rowOff>31752</xdr:rowOff>
    </xdr:to>
    <xdr:sp macro="" textlink="">
      <xdr:nvSpPr>
        <xdr:cNvPr id="14463" name="Arrow: Down 14462">
          <a:extLst>
            <a:ext uri="{FF2B5EF4-FFF2-40B4-BE49-F238E27FC236}">
              <a16:creationId xmlns:a16="http://schemas.microsoft.com/office/drawing/2014/main" id="{D5DFE912-84B5-428C-BFEE-D2F66C8B069B}"/>
            </a:ext>
          </a:extLst>
        </xdr:cNvPr>
        <xdr:cNvSpPr/>
      </xdr:nvSpPr>
      <xdr:spPr>
        <a:xfrm>
          <a:off x="27233563" y="13652501"/>
          <a:ext cx="87312" cy="254001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106</xdr:col>
      <xdr:colOff>119063</xdr:colOff>
      <xdr:row>65</xdr:row>
      <xdr:rowOff>7938</xdr:rowOff>
    </xdr:from>
    <xdr:to>
      <xdr:col>107</xdr:col>
      <xdr:colOff>47625</xdr:colOff>
      <xdr:row>65</xdr:row>
      <xdr:rowOff>190501</xdr:rowOff>
    </xdr:to>
    <xdr:sp macro="" textlink="">
      <xdr:nvSpPr>
        <xdr:cNvPr id="14464" name="Arrow: Down 14463">
          <a:extLst>
            <a:ext uri="{FF2B5EF4-FFF2-40B4-BE49-F238E27FC236}">
              <a16:creationId xmlns:a16="http://schemas.microsoft.com/office/drawing/2014/main" id="{F8568280-7B1C-4F5B-91FC-33F52F05C293}"/>
            </a:ext>
          </a:extLst>
        </xdr:cNvPr>
        <xdr:cNvSpPr/>
      </xdr:nvSpPr>
      <xdr:spPr>
        <a:xfrm>
          <a:off x="27233563" y="13882688"/>
          <a:ext cx="95250" cy="182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112</xdr:col>
      <xdr:colOff>87313</xdr:colOff>
      <xdr:row>75</xdr:row>
      <xdr:rowOff>0</xdr:rowOff>
    </xdr:from>
    <xdr:to>
      <xdr:col>113</xdr:col>
      <xdr:colOff>0</xdr:colOff>
      <xdr:row>76</xdr:row>
      <xdr:rowOff>7937</xdr:rowOff>
    </xdr:to>
    <xdr:sp macro="" textlink="">
      <xdr:nvSpPr>
        <xdr:cNvPr id="14465" name="Arrow: Down 14464">
          <a:extLst>
            <a:ext uri="{FF2B5EF4-FFF2-40B4-BE49-F238E27FC236}">
              <a16:creationId xmlns:a16="http://schemas.microsoft.com/office/drawing/2014/main" id="{535BF3E5-9274-44C8-AEA4-33286AEF92EC}"/>
            </a:ext>
          </a:extLst>
        </xdr:cNvPr>
        <xdr:cNvSpPr/>
      </xdr:nvSpPr>
      <xdr:spPr>
        <a:xfrm>
          <a:off x="28201938" y="15859125"/>
          <a:ext cx="79375" cy="20637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104</xdr:col>
      <xdr:colOff>166686</xdr:colOff>
      <xdr:row>63</xdr:row>
      <xdr:rowOff>79378</xdr:rowOff>
    </xdr:from>
    <xdr:to>
      <xdr:col>105</xdr:col>
      <xdr:colOff>166686</xdr:colOff>
      <xdr:row>64</xdr:row>
      <xdr:rowOff>7940</xdr:rowOff>
    </xdr:to>
    <xdr:sp macro="" textlink="">
      <xdr:nvSpPr>
        <xdr:cNvPr id="14427" name="Arrow: Bent 14426">
          <a:extLst>
            <a:ext uri="{FF2B5EF4-FFF2-40B4-BE49-F238E27FC236}">
              <a16:creationId xmlns:a16="http://schemas.microsoft.com/office/drawing/2014/main" id="{3C8F5298-FD26-4FA6-BAA8-45BD42E9B00D}"/>
            </a:ext>
          </a:extLst>
        </xdr:cNvPr>
        <xdr:cNvSpPr/>
      </xdr:nvSpPr>
      <xdr:spPr>
        <a:xfrm rot="5400000">
          <a:off x="26967655" y="13537409"/>
          <a:ext cx="127000" cy="166688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104</xdr:col>
      <xdr:colOff>166686</xdr:colOff>
      <xdr:row>62</xdr:row>
      <xdr:rowOff>63502</xdr:rowOff>
    </xdr:from>
    <xdr:to>
      <xdr:col>106</xdr:col>
      <xdr:colOff>23812</xdr:colOff>
      <xdr:row>63</xdr:row>
      <xdr:rowOff>190500</xdr:rowOff>
    </xdr:to>
    <xdr:sp macro="" textlink="">
      <xdr:nvSpPr>
        <xdr:cNvPr id="14355" name="Arrow: Bent 14354">
          <a:extLst>
            <a:ext uri="{FF2B5EF4-FFF2-40B4-BE49-F238E27FC236}">
              <a16:creationId xmlns:a16="http://schemas.microsoft.com/office/drawing/2014/main" id="{13A6FC74-E523-4ABC-BCC7-4BA84BFA339C}"/>
            </a:ext>
          </a:extLst>
        </xdr:cNvPr>
        <xdr:cNvSpPr/>
      </xdr:nvSpPr>
      <xdr:spPr>
        <a:xfrm rot="5400000">
          <a:off x="26880344" y="13410407"/>
          <a:ext cx="325435" cy="190501"/>
        </a:xfrm>
        <a:prstGeom prst="bent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  <xdr:twoCellAnchor>
    <xdr:from>
      <xdr:col>106</xdr:col>
      <xdr:colOff>15875</xdr:colOff>
      <xdr:row>67</xdr:row>
      <xdr:rowOff>182565</xdr:rowOff>
    </xdr:from>
    <xdr:to>
      <xdr:col>106</xdr:col>
      <xdr:colOff>103186</xdr:colOff>
      <xdr:row>69</xdr:row>
      <xdr:rowOff>15878</xdr:rowOff>
    </xdr:to>
    <xdr:sp macro="" textlink="">
      <xdr:nvSpPr>
        <xdr:cNvPr id="14467" name="Arrow: Down 14466">
          <a:extLst>
            <a:ext uri="{FF2B5EF4-FFF2-40B4-BE49-F238E27FC236}">
              <a16:creationId xmlns:a16="http://schemas.microsoft.com/office/drawing/2014/main" id="{FD8C2C0D-9808-4759-B1CB-602CD5A49312}"/>
            </a:ext>
          </a:extLst>
        </xdr:cNvPr>
        <xdr:cNvSpPr/>
      </xdr:nvSpPr>
      <xdr:spPr>
        <a:xfrm>
          <a:off x="27130375" y="14454190"/>
          <a:ext cx="87311" cy="230188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106</xdr:col>
      <xdr:colOff>15874</xdr:colOff>
      <xdr:row>69</xdr:row>
      <xdr:rowOff>15875</xdr:rowOff>
    </xdr:from>
    <xdr:to>
      <xdr:col>106</xdr:col>
      <xdr:colOff>103187</xdr:colOff>
      <xdr:row>70</xdr:row>
      <xdr:rowOff>23812</xdr:rowOff>
    </xdr:to>
    <xdr:sp macro="" textlink="">
      <xdr:nvSpPr>
        <xdr:cNvPr id="14468" name="Arrow: Down 14467">
          <a:extLst>
            <a:ext uri="{FF2B5EF4-FFF2-40B4-BE49-F238E27FC236}">
              <a16:creationId xmlns:a16="http://schemas.microsoft.com/office/drawing/2014/main" id="{175DB296-B387-4714-9A92-6F9E9363859F}"/>
            </a:ext>
          </a:extLst>
        </xdr:cNvPr>
        <xdr:cNvSpPr/>
      </xdr:nvSpPr>
      <xdr:spPr>
        <a:xfrm>
          <a:off x="27130374" y="14684375"/>
          <a:ext cx="87313" cy="20637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122</xdr:col>
      <xdr:colOff>63500</xdr:colOff>
      <xdr:row>78</xdr:row>
      <xdr:rowOff>190499</xdr:rowOff>
    </xdr:from>
    <xdr:to>
      <xdr:col>122</xdr:col>
      <xdr:colOff>127000</xdr:colOff>
      <xdr:row>79</xdr:row>
      <xdr:rowOff>190500</xdr:rowOff>
    </xdr:to>
    <xdr:sp macro="" textlink="">
      <xdr:nvSpPr>
        <xdr:cNvPr id="14469" name="Arrow: Down 14468">
          <a:extLst>
            <a:ext uri="{FF2B5EF4-FFF2-40B4-BE49-F238E27FC236}">
              <a16:creationId xmlns:a16="http://schemas.microsoft.com/office/drawing/2014/main" id="{F40EAF75-39D3-4D7F-A437-AE30B17BD4DF}"/>
            </a:ext>
          </a:extLst>
        </xdr:cNvPr>
        <xdr:cNvSpPr/>
      </xdr:nvSpPr>
      <xdr:spPr>
        <a:xfrm>
          <a:off x="29845000" y="16644937"/>
          <a:ext cx="63500" cy="198438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123</xdr:col>
      <xdr:colOff>95250</xdr:colOff>
      <xdr:row>81</xdr:row>
      <xdr:rowOff>0</xdr:rowOff>
    </xdr:from>
    <xdr:to>
      <xdr:col>124</xdr:col>
      <xdr:colOff>23813</xdr:colOff>
      <xdr:row>82</xdr:row>
      <xdr:rowOff>7937</xdr:rowOff>
    </xdr:to>
    <xdr:sp macro="" textlink="">
      <xdr:nvSpPr>
        <xdr:cNvPr id="14470" name="Arrow: Down 14469">
          <a:extLst>
            <a:ext uri="{FF2B5EF4-FFF2-40B4-BE49-F238E27FC236}">
              <a16:creationId xmlns:a16="http://schemas.microsoft.com/office/drawing/2014/main" id="{EB65CEE1-4B99-4A98-BA5B-EEA86D6FA95E}"/>
            </a:ext>
          </a:extLst>
        </xdr:cNvPr>
        <xdr:cNvSpPr/>
      </xdr:nvSpPr>
      <xdr:spPr>
        <a:xfrm>
          <a:off x="30043438" y="17049750"/>
          <a:ext cx="95250" cy="20637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123</xdr:col>
      <xdr:colOff>95251</xdr:colOff>
      <xdr:row>81</xdr:row>
      <xdr:rowOff>174625</xdr:rowOff>
    </xdr:from>
    <xdr:to>
      <xdr:col>124</xdr:col>
      <xdr:colOff>15876</xdr:colOff>
      <xdr:row>82</xdr:row>
      <xdr:rowOff>198436</xdr:rowOff>
    </xdr:to>
    <xdr:sp macro="" textlink="">
      <xdr:nvSpPr>
        <xdr:cNvPr id="14472" name="Arrow: Down 14471">
          <a:extLst>
            <a:ext uri="{FF2B5EF4-FFF2-40B4-BE49-F238E27FC236}">
              <a16:creationId xmlns:a16="http://schemas.microsoft.com/office/drawing/2014/main" id="{8BE413E0-E9F7-4FB2-A985-79B49B27B82E}"/>
            </a:ext>
          </a:extLst>
        </xdr:cNvPr>
        <xdr:cNvSpPr/>
      </xdr:nvSpPr>
      <xdr:spPr>
        <a:xfrm>
          <a:off x="30043439" y="17224375"/>
          <a:ext cx="87312" cy="222249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123</xdr:col>
      <xdr:colOff>95250</xdr:colOff>
      <xdr:row>82</xdr:row>
      <xdr:rowOff>190499</xdr:rowOff>
    </xdr:from>
    <xdr:to>
      <xdr:col>124</xdr:col>
      <xdr:colOff>23813</xdr:colOff>
      <xdr:row>83</xdr:row>
      <xdr:rowOff>174625</xdr:rowOff>
    </xdr:to>
    <xdr:sp macro="" textlink="">
      <xdr:nvSpPr>
        <xdr:cNvPr id="14473" name="Arrow: Down 14472">
          <a:extLst>
            <a:ext uri="{FF2B5EF4-FFF2-40B4-BE49-F238E27FC236}">
              <a16:creationId xmlns:a16="http://schemas.microsoft.com/office/drawing/2014/main" id="{373C8BD1-64BD-4CD6-9499-CB82743C62F8}"/>
            </a:ext>
          </a:extLst>
        </xdr:cNvPr>
        <xdr:cNvSpPr/>
      </xdr:nvSpPr>
      <xdr:spPr>
        <a:xfrm>
          <a:off x="30043438" y="17438687"/>
          <a:ext cx="95250" cy="182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138</xdr:col>
      <xdr:colOff>71438</xdr:colOff>
      <xdr:row>92</xdr:row>
      <xdr:rowOff>23813</xdr:rowOff>
    </xdr:from>
    <xdr:to>
      <xdr:col>139</xdr:col>
      <xdr:colOff>0</xdr:colOff>
      <xdr:row>93</xdr:row>
      <xdr:rowOff>7939</xdr:rowOff>
    </xdr:to>
    <xdr:sp macro="" textlink="">
      <xdr:nvSpPr>
        <xdr:cNvPr id="14476" name="Arrow: Down 14475">
          <a:extLst>
            <a:ext uri="{FF2B5EF4-FFF2-40B4-BE49-F238E27FC236}">
              <a16:creationId xmlns:a16="http://schemas.microsoft.com/office/drawing/2014/main" id="{25DC0FB1-7411-4888-ADE1-8A670CB2D8B8}"/>
            </a:ext>
          </a:extLst>
        </xdr:cNvPr>
        <xdr:cNvSpPr/>
      </xdr:nvSpPr>
      <xdr:spPr>
        <a:xfrm>
          <a:off x="32519938" y="19256376"/>
          <a:ext cx="95250" cy="182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138</xdr:col>
      <xdr:colOff>79376</xdr:colOff>
      <xdr:row>93</xdr:row>
      <xdr:rowOff>7937</xdr:rowOff>
    </xdr:from>
    <xdr:to>
      <xdr:col>139</xdr:col>
      <xdr:colOff>7938</xdr:colOff>
      <xdr:row>93</xdr:row>
      <xdr:rowOff>190500</xdr:rowOff>
    </xdr:to>
    <xdr:sp macro="" textlink="">
      <xdr:nvSpPr>
        <xdr:cNvPr id="14477" name="Arrow: Down 14476">
          <a:extLst>
            <a:ext uri="{FF2B5EF4-FFF2-40B4-BE49-F238E27FC236}">
              <a16:creationId xmlns:a16="http://schemas.microsoft.com/office/drawing/2014/main" id="{2F15BD68-06AA-4615-B67F-34AD45E03EE1}"/>
            </a:ext>
          </a:extLst>
        </xdr:cNvPr>
        <xdr:cNvSpPr/>
      </xdr:nvSpPr>
      <xdr:spPr>
        <a:xfrm>
          <a:off x="32527876" y="19438937"/>
          <a:ext cx="95250" cy="182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156</xdr:col>
      <xdr:colOff>87313</xdr:colOff>
      <xdr:row>105</xdr:row>
      <xdr:rowOff>0</xdr:rowOff>
    </xdr:from>
    <xdr:to>
      <xdr:col>157</xdr:col>
      <xdr:colOff>15875</xdr:colOff>
      <xdr:row>105</xdr:row>
      <xdr:rowOff>182563</xdr:rowOff>
    </xdr:to>
    <xdr:sp macro="" textlink="">
      <xdr:nvSpPr>
        <xdr:cNvPr id="14478" name="Arrow: Down 14477">
          <a:extLst>
            <a:ext uri="{FF2B5EF4-FFF2-40B4-BE49-F238E27FC236}">
              <a16:creationId xmlns:a16="http://schemas.microsoft.com/office/drawing/2014/main" id="{FAAF4810-66EA-4BFC-B768-6C40CD539CA8}"/>
            </a:ext>
          </a:extLst>
        </xdr:cNvPr>
        <xdr:cNvSpPr/>
      </xdr:nvSpPr>
      <xdr:spPr>
        <a:xfrm>
          <a:off x="35536188" y="21812250"/>
          <a:ext cx="95250" cy="182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165</xdr:col>
      <xdr:colOff>87312</xdr:colOff>
      <xdr:row>109</xdr:row>
      <xdr:rowOff>0</xdr:rowOff>
    </xdr:from>
    <xdr:to>
      <xdr:col>166</xdr:col>
      <xdr:colOff>15875</xdr:colOff>
      <xdr:row>109</xdr:row>
      <xdr:rowOff>182563</xdr:rowOff>
    </xdr:to>
    <xdr:sp macro="" textlink="">
      <xdr:nvSpPr>
        <xdr:cNvPr id="14479" name="Arrow: Down 14478">
          <a:extLst>
            <a:ext uri="{FF2B5EF4-FFF2-40B4-BE49-F238E27FC236}">
              <a16:creationId xmlns:a16="http://schemas.microsoft.com/office/drawing/2014/main" id="{5977B177-CAF3-4BFD-8CE9-BF0CF78836EF}"/>
            </a:ext>
          </a:extLst>
        </xdr:cNvPr>
        <xdr:cNvSpPr/>
      </xdr:nvSpPr>
      <xdr:spPr>
        <a:xfrm>
          <a:off x="37036375" y="22606000"/>
          <a:ext cx="95250" cy="182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165</xdr:col>
      <xdr:colOff>87313</xdr:colOff>
      <xdr:row>109</xdr:row>
      <xdr:rowOff>190501</xdr:rowOff>
    </xdr:from>
    <xdr:to>
      <xdr:col>166</xdr:col>
      <xdr:colOff>7938</xdr:colOff>
      <xdr:row>111</xdr:row>
      <xdr:rowOff>15875</xdr:rowOff>
    </xdr:to>
    <xdr:sp macro="" textlink="">
      <xdr:nvSpPr>
        <xdr:cNvPr id="14480" name="Arrow: Down 14479">
          <a:extLst>
            <a:ext uri="{FF2B5EF4-FFF2-40B4-BE49-F238E27FC236}">
              <a16:creationId xmlns:a16="http://schemas.microsoft.com/office/drawing/2014/main" id="{DD6E3EEC-6AB2-46C6-8AAF-378D07138DC3}"/>
            </a:ext>
          </a:extLst>
        </xdr:cNvPr>
        <xdr:cNvSpPr/>
      </xdr:nvSpPr>
      <xdr:spPr>
        <a:xfrm>
          <a:off x="37036376" y="22796501"/>
          <a:ext cx="87312" cy="222249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178</xdr:col>
      <xdr:colOff>87313</xdr:colOff>
      <xdr:row>113</xdr:row>
      <xdr:rowOff>7938</xdr:rowOff>
    </xdr:from>
    <xdr:to>
      <xdr:col>179</xdr:col>
      <xdr:colOff>15875</xdr:colOff>
      <xdr:row>113</xdr:row>
      <xdr:rowOff>190501</xdr:rowOff>
    </xdr:to>
    <xdr:sp macro="" textlink="">
      <xdr:nvSpPr>
        <xdr:cNvPr id="14481" name="Arrow: Down 14480">
          <a:extLst>
            <a:ext uri="{FF2B5EF4-FFF2-40B4-BE49-F238E27FC236}">
              <a16:creationId xmlns:a16="http://schemas.microsoft.com/office/drawing/2014/main" id="{309CE345-2E05-4E8C-8EFF-15F28ACE8AB6}"/>
            </a:ext>
          </a:extLst>
        </xdr:cNvPr>
        <xdr:cNvSpPr/>
      </xdr:nvSpPr>
      <xdr:spPr>
        <a:xfrm>
          <a:off x="39203313" y="23407688"/>
          <a:ext cx="95250" cy="182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197</xdr:col>
      <xdr:colOff>55563</xdr:colOff>
      <xdr:row>115</xdr:row>
      <xdr:rowOff>7938</xdr:rowOff>
    </xdr:from>
    <xdr:to>
      <xdr:col>197</xdr:col>
      <xdr:colOff>150813</xdr:colOff>
      <xdr:row>115</xdr:row>
      <xdr:rowOff>190501</xdr:rowOff>
    </xdr:to>
    <xdr:sp macro="" textlink="">
      <xdr:nvSpPr>
        <xdr:cNvPr id="14482" name="Arrow: Down 14481">
          <a:extLst>
            <a:ext uri="{FF2B5EF4-FFF2-40B4-BE49-F238E27FC236}">
              <a16:creationId xmlns:a16="http://schemas.microsoft.com/office/drawing/2014/main" id="{2F9F77EF-9177-4A20-98FD-50F09D2F860D}"/>
            </a:ext>
          </a:extLst>
        </xdr:cNvPr>
        <xdr:cNvSpPr/>
      </xdr:nvSpPr>
      <xdr:spPr>
        <a:xfrm>
          <a:off x="42338626" y="23804563"/>
          <a:ext cx="95250" cy="182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198</xdr:col>
      <xdr:colOff>95250</xdr:colOff>
      <xdr:row>116</xdr:row>
      <xdr:rowOff>190501</xdr:rowOff>
    </xdr:from>
    <xdr:to>
      <xdr:col>199</xdr:col>
      <xdr:colOff>15875</xdr:colOff>
      <xdr:row>117</xdr:row>
      <xdr:rowOff>182564</xdr:rowOff>
    </xdr:to>
    <xdr:sp macro="" textlink="">
      <xdr:nvSpPr>
        <xdr:cNvPr id="14483" name="Arrow: Down 14482">
          <a:extLst>
            <a:ext uri="{FF2B5EF4-FFF2-40B4-BE49-F238E27FC236}">
              <a16:creationId xmlns:a16="http://schemas.microsoft.com/office/drawing/2014/main" id="{FEE0B2E3-279A-447C-90A7-8EF5D58F32B6}"/>
            </a:ext>
          </a:extLst>
        </xdr:cNvPr>
        <xdr:cNvSpPr/>
      </xdr:nvSpPr>
      <xdr:spPr>
        <a:xfrm>
          <a:off x="42545000" y="24185564"/>
          <a:ext cx="87313" cy="190500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198</xdr:col>
      <xdr:colOff>95250</xdr:colOff>
      <xdr:row>117</xdr:row>
      <xdr:rowOff>182563</xdr:rowOff>
    </xdr:from>
    <xdr:to>
      <xdr:col>199</xdr:col>
      <xdr:colOff>15875</xdr:colOff>
      <xdr:row>119</xdr:row>
      <xdr:rowOff>23813</xdr:rowOff>
    </xdr:to>
    <xdr:sp macro="" textlink="">
      <xdr:nvSpPr>
        <xdr:cNvPr id="14484" name="Arrow: Down 14483">
          <a:extLst>
            <a:ext uri="{FF2B5EF4-FFF2-40B4-BE49-F238E27FC236}">
              <a16:creationId xmlns:a16="http://schemas.microsoft.com/office/drawing/2014/main" id="{D9793CEB-C4B0-4A4D-BD6B-D3E2F4C2B799}"/>
            </a:ext>
          </a:extLst>
        </xdr:cNvPr>
        <xdr:cNvSpPr/>
      </xdr:nvSpPr>
      <xdr:spPr>
        <a:xfrm>
          <a:off x="42545000" y="24376063"/>
          <a:ext cx="87313" cy="23812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221</xdr:col>
      <xdr:colOff>79374</xdr:colOff>
      <xdr:row>123</xdr:row>
      <xdr:rowOff>0</xdr:rowOff>
    </xdr:from>
    <xdr:to>
      <xdr:col>222</xdr:col>
      <xdr:colOff>7938</xdr:colOff>
      <xdr:row>124</xdr:row>
      <xdr:rowOff>23812</xdr:rowOff>
    </xdr:to>
    <xdr:sp macro="" textlink="">
      <xdr:nvSpPr>
        <xdr:cNvPr id="14485" name="Arrow: Down 14484">
          <a:extLst>
            <a:ext uri="{FF2B5EF4-FFF2-40B4-BE49-F238E27FC236}">
              <a16:creationId xmlns:a16="http://schemas.microsoft.com/office/drawing/2014/main" id="{9CA74BAF-74D0-4AA9-A17D-BBA8F8331350}"/>
            </a:ext>
          </a:extLst>
        </xdr:cNvPr>
        <xdr:cNvSpPr/>
      </xdr:nvSpPr>
      <xdr:spPr>
        <a:xfrm>
          <a:off x="46362937" y="25384125"/>
          <a:ext cx="95251" cy="222250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221</xdr:col>
      <xdr:colOff>79375</xdr:colOff>
      <xdr:row>124</xdr:row>
      <xdr:rowOff>23812</xdr:rowOff>
    </xdr:from>
    <xdr:to>
      <xdr:col>222</xdr:col>
      <xdr:colOff>0</xdr:colOff>
      <xdr:row>126</xdr:row>
      <xdr:rowOff>55562</xdr:rowOff>
    </xdr:to>
    <xdr:sp macro="" textlink="">
      <xdr:nvSpPr>
        <xdr:cNvPr id="14486" name="Arrow: Down 14485">
          <a:extLst>
            <a:ext uri="{FF2B5EF4-FFF2-40B4-BE49-F238E27FC236}">
              <a16:creationId xmlns:a16="http://schemas.microsoft.com/office/drawing/2014/main" id="{7C3B5DF5-4759-4479-96BE-80E94B4A9015}"/>
            </a:ext>
          </a:extLst>
        </xdr:cNvPr>
        <xdr:cNvSpPr/>
      </xdr:nvSpPr>
      <xdr:spPr>
        <a:xfrm>
          <a:off x="46362938" y="25606375"/>
          <a:ext cx="87312" cy="42862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228</xdr:col>
      <xdr:colOff>55563</xdr:colOff>
      <xdr:row>128</xdr:row>
      <xdr:rowOff>190500</xdr:rowOff>
    </xdr:from>
    <xdr:to>
      <xdr:col>228</xdr:col>
      <xdr:colOff>142875</xdr:colOff>
      <xdr:row>129</xdr:row>
      <xdr:rowOff>190500</xdr:rowOff>
    </xdr:to>
    <xdr:sp macro="" textlink="">
      <xdr:nvSpPr>
        <xdr:cNvPr id="14487" name="Arrow: Down 14486">
          <a:extLst>
            <a:ext uri="{FF2B5EF4-FFF2-40B4-BE49-F238E27FC236}">
              <a16:creationId xmlns:a16="http://schemas.microsoft.com/office/drawing/2014/main" id="{663CEF38-9FEC-4B66-BCB9-6AC1F828FD4E}"/>
            </a:ext>
          </a:extLst>
        </xdr:cNvPr>
        <xdr:cNvSpPr/>
      </xdr:nvSpPr>
      <xdr:spPr>
        <a:xfrm>
          <a:off x="47505938" y="26566813"/>
          <a:ext cx="87312" cy="1984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253</xdr:col>
      <xdr:colOff>63498</xdr:colOff>
      <xdr:row>138</xdr:row>
      <xdr:rowOff>0</xdr:rowOff>
    </xdr:from>
    <xdr:to>
      <xdr:col>253</xdr:col>
      <xdr:colOff>150812</xdr:colOff>
      <xdr:row>139</xdr:row>
      <xdr:rowOff>1</xdr:rowOff>
    </xdr:to>
    <xdr:sp macro="" textlink="">
      <xdr:nvSpPr>
        <xdr:cNvPr id="14488" name="Arrow: Down 14487">
          <a:extLst>
            <a:ext uri="{FF2B5EF4-FFF2-40B4-BE49-F238E27FC236}">
              <a16:creationId xmlns:a16="http://schemas.microsoft.com/office/drawing/2014/main" id="{3A337C5F-8561-4EBF-8D17-64601DAE80F9}"/>
            </a:ext>
          </a:extLst>
        </xdr:cNvPr>
        <xdr:cNvSpPr/>
      </xdr:nvSpPr>
      <xdr:spPr>
        <a:xfrm>
          <a:off x="51681061" y="28360688"/>
          <a:ext cx="87314" cy="198438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272</xdr:col>
      <xdr:colOff>55563</xdr:colOff>
      <xdr:row>142</xdr:row>
      <xdr:rowOff>7937</xdr:rowOff>
    </xdr:from>
    <xdr:to>
      <xdr:col>272</xdr:col>
      <xdr:colOff>134938</xdr:colOff>
      <xdr:row>142</xdr:row>
      <xdr:rowOff>182563</xdr:rowOff>
    </xdr:to>
    <xdr:sp macro="" textlink="">
      <xdr:nvSpPr>
        <xdr:cNvPr id="14489" name="Arrow: Down 14488">
          <a:extLst>
            <a:ext uri="{FF2B5EF4-FFF2-40B4-BE49-F238E27FC236}">
              <a16:creationId xmlns:a16="http://schemas.microsoft.com/office/drawing/2014/main" id="{2786562F-0187-4CC7-8158-ADA77DBF277B}"/>
            </a:ext>
          </a:extLst>
        </xdr:cNvPr>
        <xdr:cNvSpPr/>
      </xdr:nvSpPr>
      <xdr:spPr>
        <a:xfrm>
          <a:off x="54840188" y="29162375"/>
          <a:ext cx="79375" cy="174626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273</xdr:col>
      <xdr:colOff>71438</xdr:colOff>
      <xdr:row>144</xdr:row>
      <xdr:rowOff>7937</xdr:rowOff>
    </xdr:from>
    <xdr:to>
      <xdr:col>274</xdr:col>
      <xdr:colOff>1</xdr:colOff>
      <xdr:row>144</xdr:row>
      <xdr:rowOff>190500</xdr:rowOff>
    </xdr:to>
    <xdr:sp macro="" textlink="">
      <xdr:nvSpPr>
        <xdr:cNvPr id="14490" name="Arrow: Down 14489">
          <a:extLst>
            <a:ext uri="{FF2B5EF4-FFF2-40B4-BE49-F238E27FC236}">
              <a16:creationId xmlns:a16="http://schemas.microsoft.com/office/drawing/2014/main" id="{617CCBE7-13A7-443F-95C3-9DFB46A69D92}"/>
            </a:ext>
          </a:extLst>
        </xdr:cNvPr>
        <xdr:cNvSpPr/>
      </xdr:nvSpPr>
      <xdr:spPr>
        <a:xfrm>
          <a:off x="55022751" y="29559250"/>
          <a:ext cx="95250" cy="1825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273</xdr:col>
      <xdr:colOff>79375</xdr:colOff>
      <xdr:row>144</xdr:row>
      <xdr:rowOff>182562</xdr:rowOff>
    </xdr:from>
    <xdr:to>
      <xdr:col>274</xdr:col>
      <xdr:colOff>7938</xdr:colOff>
      <xdr:row>146</xdr:row>
      <xdr:rowOff>31750</xdr:rowOff>
    </xdr:to>
    <xdr:sp macro="" textlink="">
      <xdr:nvSpPr>
        <xdr:cNvPr id="14491" name="Arrow: Down 14490">
          <a:extLst>
            <a:ext uri="{FF2B5EF4-FFF2-40B4-BE49-F238E27FC236}">
              <a16:creationId xmlns:a16="http://schemas.microsoft.com/office/drawing/2014/main" id="{F47CFFD0-10F0-4461-88C2-8AFC8BA700A4}"/>
            </a:ext>
          </a:extLst>
        </xdr:cNvPr>
        <xdr:cNvSpPr/>
      </xdr:nvSpPr>
      <xdr:spPr>
        <a:xfrm>
          <a:off x="55030688" y="29733875"/>
          <a:ext cx="95250" cy="246063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303</xdr:col>
      <xdr:colOff>79375</xdr:colOff>
      <xdr:row>157</xdr:row>
      <xdr:rowOff>174625</xdr:rowOff>
    </xdr:from>
    <xdr:to>
      <xdr:col>304</xdr:col>
      <xdr:colOff>7938</xdr:colOff>
      <xdr:row>159</xdr:row>
      <xdr:rowOff>39687</xdr:rowOff>
    </xdr:to>
    <xdr:sp macro="" textlink="">
      <xdr:nvSpPr>
        <xdr:cNvPr id="14492" name="Arrow: Down 14491">
          <a:extLst>
            <a:ext uri="{FF2B5EF4-FFF2-40B4-BE49-F238E27FC236}">
              <a16:creationId xmlns:a16="http://schemas.microsoft.com/office/drawing/2014/main" id="{04B3E80D-AEF2-4326-9701-D5DD29C8BA57}"/>
            </a:ext>
          </a:extLst>
        </xdr:cNvPr>
        <xdr:cNvSpPr/>
      </xdr:nvSpPr>
      <xdr:spPr>
        <a:xfrm>
          <a:off x="60031313" y="32305625"/>
          <a:ext cx="95250" cy="2619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328</xdr:col>
      <xdr:colOff>55562</xdr:colOff>
      <xdr:row>165</xdr:row>
      <xdr:rowOff>1</xdr:rowOff>
    </xdr:from>
    <xdr:to>
      <xdr:col>328</xdr:col>
      <xdr:colOff>142875</xdr:colOff>
      <xdr:row>166</xdr:row>
      <xdr:rowOff>0</xdr:rowOff>
    </xdr:to>
    <xdr:sp macro="" textlink="">
      <xdr:nvSpPr>
        <xdr:cNvPr id="14493" name="Arrow: Down 14492">
          <a:extLst>
            <a:ext uri="{FF2B5EF4-FFF2-40B4-BE49-F238E27FC236}">
              <a16:creationId xmlns:a16="http://schemas.microsoft.com/office/drawing/2014/main" id="{481C42C0-ED3D-4C62-B595-D348F250AE64}"/>
            </a:ext>
          </a:extLst>
        </xdr:cNvPr>
        <xdr:cNvSpPr/>
      </xdr:nvSpPr>
      <xdr:spPr>
        <a:xfrm>
          <a:off x="64174687" y="33718501"/>
          <a:ext cx="87313" cy="19843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370</xdr:col>
      <xdr:colOff>39688</xdr:colOff>
      <xdr:row>172</xdr:row>
      <xdr:rowOff>-1</xdr:rowOff>
    </xdr:from>
    <xdr:to>
      <xdr:col>370</xdr:col>
      <xdr:colOff>111126</xdr:colOff>
      <xdr:row>172</xdr:row>
      <xdr:rowOff>190500</xdr:rowOff>
    </xdr:to>
    <xdr:sp macro="" textlink="">
      <xdr:nvSpPr>
        <xdr:cNvPr id="14494" name="Arrow: Down 14493">
          <a:extLst>
            <a:ext uri="{FF2B5EF4-FFF2-40B4-BE49-F238E27FC236}">
              <a16:creationId xmlns:a16="http://schemas.microsoft.com/office/drawing/2014/main" id="{908EBF5B-765C-486C-A944-FF59FBA7734A}"/>
            </a:ext>
          </a:extLst>
        </xdr:cNvPr>
        <xdr:cNvSpPr/>
      </xdr:nvSpPr>
      <xdr:spPr>
        <a:xfrm>
          <a:off x="71159688" y="35107562"/>
          <a:ext cx="71438" cy="190501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371</xdr:col>
      <xdr:colOff>95249</xdr:colOff>
      <xdr:row>173</xdr:row>
      <xdr:rowOff>190502</xdr:rowOff>
    </xdr:from>
    <xdr:to>
      <xdr:col>372</xdr:col>
      <xdr:colOff>7937</xdr:colOff>
      <xdr:row>175</xdr:row>
      <xdr:rowOff>15875</xdr:rowOff>
    </xdr:to>
    <xdr:sp macro="" textlink="">
      <xdr:nvSpPr>
        <xdr:cNvPr id="14495" name="Arrow: Down 14494">
          <a:extLst>
            <a:ext uri="{FF2B5EF4-FFF2-40B4-BE49-F238E27FC236}">
              <a16:creationId xmlns:a16="http://schemas.microsoft.com/office/drawing/2014/main" id="{5C09E25D-096F-4BC8-A283-F939E55DA056}"/>
            </a:ext>
          </a:extLst>
        </xdr:cNvPr>
        <xdr:cNvSpPr/>
      </xdr:nvSpPr>
      <xdr:spPr>
        <a:xfrm flipH="1">
          <a:off x="71381937" y="35496502"/>
          <a:ext cx="79375" cy="222248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371</xdr:col>
      <xdr:colOff>87312</xdr:colOff>
      <xdr:row>175</xdr:row>
      <xdr:rowOff>7938</xdr:rowOff>
    </xdr:from>
    <xdr:to>
      <xdr:col>372</xdr:col>
      <xdr:colOff>31750</xdr:colOff>
      <xdr:row>176</xdr:row>
      <xdr:rowOff>31750</xdr:rowOff>
    </xdr:to>
    <xdr:sp macro="" textlink="">
      <xdr:nvSpPr>
        <xdr:cNvPr id="14496" name="Arrow: Down 14495">
          <a:extLst>
            <a:ext uri="{FF2B5EF4-FFF2-40B4-BE49-F238E27FC236}">
              <a16:creationId xmlns:a16="http://schemas.microsoft.com/office/drawing/2014/main" id="{B492C0C4-42FC-48F7-8418-F2BC587DA4B4}"/>
            </a:ext>
          </a:extLst>
        </xdr:cNvPr>
        <xdr:cNvSpPr/>
      </xdr:nvSpPr>
      <xdr:spPr>
        <a:xfrm>
          <a:off x="71374000" y="35710813"/>
          <a:ext cx="111125" cy="222250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378</xdr:col>
      <xdr:colOff>87311</xdr:colOff>
      <xdr:row>177</xdr:row>
      <xdr:rowOff>1</xdr:rowOff>
    </xdr:from>
    <xdr:to>
      <xdr:col>379</xdr:col>
      <xdr:colOff>15874</xdr:colOff>
      <xdr:row>178</xdr:row>
      <xdr:rowOff>7938</xdr:rowOff>
    </xdr:to>
    <xdr:sp macro="" textlink="">
      <xdr:nvSpPr>
        <xdr:cNvPr id="14497" name="Arrow: Down 14496">
          <a:extLst>
            <a:ext uri="{FF2B5EF4-FFF2-40B4-BE49-F238E27FC236}">
              <a16:creationId xmlns:a16="http://schemas.microsoft.com/office/drawing/2014/main" id="{6F311F95-828D-40DD-AA8B-1855EB53F47B}"/>
            </a:ext>
          </a:extLst>
        </xdr:cNvPr>
        <xdr:cNvSpPr/>
      </xdr:nvSpPr>
      <xdr:spPr>
        <a:xfrm>
          <a:off x="72540811" y="36099751"/>
          <a:ext cx="95251" cy="20637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394</xdr:col>
      <xdr:colOff>47624</xdr:colOff>
      <xdr:row>181</xdr:row>
      <xdr:rowOff>0</xdr:rowOff>
    </xdr:from>
    <xdr:to>
      <xdr:col>394</xdr:col>
      <xdr:colOff>142876</xdr:colOff>
      <xdr:row>182</xdr:row>
      <xdr:rowOff>23812</xdr:rowOff>
    </xdr:to>
    <xdr:sp macro="" textlink="">
      <xdr:nvSpPr>
        <xdr:cNvPr id="14498" name="Arrow: Down 14497">
          <a:extLst>
            <a:ext uri="{FF2B5EF4-FFF2-40B4-BE49-F238E27FC236}">
              <a16:creationId xmlns:a16="http://schemas.microsoft.com/office/drawing/2014/main" id="{D5A024AD-6EAD-4745-9350-50B6AA2C38FC}"/>
            </a:ext>
          </a:extLst>
        </xdr:cNvPr>
        <xdr:cNvSpPr/>
      </xdr:nvSpPr>
      <xdr:spPr>
        <a:xfrm>
          <a:off x="75168124" y="36893500"/>
          <a:ext cx="95252" cy="222250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395</xdr:col>
      <xdr:colOff>127000</xdr:colOff>
      <xdr:row>182</xdr:row>
      <xdr:rowOff>174625</xdr:rowOff>
    </xdr:from>
    <xdr:to>
      <xdr:col>396</xdr:col>
      <xdr:colOff>31750</xdr:colOff>
      <xdr:row>184</xdr:row>
      <xdr:rowOff>15875</xdr:rowOff>
    </xdr:to>
    <xdr:sp macro="" textlink="">
      <xdr:nvSpPr>
        <xdr:cNvPr id="14499" name="Arrow: Down 14498">
          <a:extLst>
            <a:ext uri="{FF2B5EF4-FFF2-40B4-BE49-F238E27FC236}">
              <a16:creationId xmlns:a16="http://schemas.microsoft.com/office/drawing/2014/main" id="{23CA3377-1F4F-4663-A249-A283BE4CEA8C}"/>
            </a:ext>
          </a:extLst>
        </xdr:cNvPr>
        <xdr:cNvSpPr/>
      </xdr:nvSpPr>
      <xdr:spPr>
        <a:xfrm>
          <a:off x="75414188" y="37266563"/>
          <a:ext cx="71437" cy="238125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395</xdr:col>
      <xdr:colOff>119062</xdr:colOff>
      <xdr:row>184</xdr:row>
      <xdr:rowOff>0</xdr:rowOff>
    </xdr:from>
    <xdr:to>
      <xdr:col>396</xdr:col>
      <xdr:colOff>39688</xdr:colOff>
      <xdr:row>185</xdr:row>
      <xdr:rowOff>15875</xdr:rowOff>
    </xdr:to>
    <xdr:sp macro="" textlink="">
      <xdr:nvSpPr>
        <xdr:cNvPr id="14500" name="Arrow: Down 14499">
          <a:extLst>
            <a:ext uri="{FF2B5EF4-FFF2-40B4-BE49-F238E27FC236}">
              <a16:creationId xmlns:a16="http://schemas.microsoft.com/office/drawing/2014/main" id="{DA5341D7-2581-4E5F-9B11-0C4DDE34F5DC}"/>
            </a:ext>
          </a:extLst>
        </xdr:cNvPr>
        <xdr:cNvSpPr/>
      </xdr:nvSpPr>
      <xdr:spPr>
        <a:xfrm>
          <a:off x="75406250" y="37488813"/>
          <a:ext cx="87313" cy="214312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  <xdr:twoCellAnchor>
    <xdr:from>
      <xdr:col>410</xdr:col>
      <xdr:colOff>87312</xdr:colOff>
      <xdr:row>188</xdr:row>
      <xdr:rowOff>190499</xdr:rowOff>
    </xdr:from>
    <xdr:to>
      <xdr:col>411</xdr:col>
      <xdr:colOff>7937</xdr:colOff>
      <xdr:row>190</xdr:row>
      <xdr:rowOff>23811</xdr:rowOff>
    </xdr:to>
    <xdr:sp macro="" textlink="">
      <xdr:nvSpPr>
        <xdr:cNvPr id="14501" name="Arrow: Down 14500">
          <a:extLst>
            <a:ext uri="{FF2B5EF4-FFF2-40B4-BE49-F238E27FC236}">
              <a16:creationId xmlns:a16="http://schemas.microsoft.com/office/drawing/2014/main" id="{5F183393-9153-4900-ADC9-47CD37F97FF5}"/>
            </a:ext>
          </a:extLst>
        </xdr:cNvPr>
        <xdr:cNvSpPr/>
      </xdr:nvSpPr>
      <xdr:spPr>
        <a:xfrm>
          <a:off x="77874812" y="38473062"/>
          <a:ext cx="87313" cy="230187"/>
        </a:xfrm>
        <a:prstGeom prst="downArrow">
          <a:avLst/>
        </a:prstGeom>
        <a:solidFill>
          <a:srgbClr val="FF0000"/>
        </a:solidFill>
        <a:ln>
          <a:solidFill>
            <a:sysClr val="windowText" lastClr="00000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AU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15681FFB-87AC-4BDE-BD58-F68F89374CBB}" autoFormatId="16" applyNumberFormats="0" applyBorderFormats="0" applyFontFormats="0" applyPatternFormats="0" applyAlignmentFormats="0" applyWidthHeightFormats="0">
  <queryTableRefresh nextId="4">
    <queryTableFields count="2">
      <queryTableField id="1" name="Date" tableColumnId="1"/>
      <queryTableField id="2" name="Holiday" tableColumnId="2"/>
    </queryTableFields>
    <queryTableDeletedFields count="1">
      <deletedField name="Applies To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7FD0B3-4B56-4730-98E4-074B954C6089}" name="Gantt4567" displayName="Gantt4567" ref="A6:K200" totalsRowShown="0" headerRowDxfId="30" headerRowBorderDxfId="29" tableBorderDxfId="28">
  <autoFilter ref="A6:K200" xr:uid="{583AE7FE-80DD-4884-8845-84DBAEBC07A3}"/>
  <tableColumns count="11">
    <tableColumn id="1" xr3:uid="{431DE700-F1B9-4611-B160-94F29DBEBF92}" name="WBS (Task ID)" dataDxfId="27"/>
    <tableColumn id="2" xr3:uid="{CC31CB65-BFB3-420F-B66D-EC241D131B0C}" name="Description"/>
    <tableColumn id="8" xr3:uid="{E622C04E-469D-4E9D-844D-2F9CE0CFB13C}" name="Colour"/>
    <tableColumn id="3" xr3:uid="{2EF44826-3EC4-4906-AC2E-A409640005EE}" name="Duration (days)" dataDxfId="26"/>
    <tableColumn id="4" xr3:uid="{0D466964-D66E-434E-9443-4C60E95AEE6F}" name="Start" dataDxfId="25"/>
    <tableColumn id="5" xr3:uid="{B1EFE00C-4503-417D-824D-112CC7C712A7}" name="End" dataDxfId="24">
      <calculatedColumnFormula>IF(D6=0,WORKDAY(Gantt4567[[#This Row],[Start]],5,Holidays))</calculatedColumnFormula>
    </tableColumn>
    <tableColumn id="6" xr3:uid="{50B36B82-18B8-4C62-8B4C-E41192BE0538}" name="Predecessor" dataDxfId="23"/>
    <tableColumn id="7" xr3:uid="{4903E859-9053-456A-805E-7C3531CD053E}" name="Successor" dataDxfId="22"/>
    <tableColumn id="9" xr3:uid="{1FA47FEC-9699-46C0-8B24-0E992CC33B05}" name="Network days" dataDxfId="21">
      <calculatedColumnFormula>IF(Gantt4567[[#This Row],[Start]]="","-",NETWORKDAYS(Gantt4567[[#This Row],[Start]],Gantt4567[[#This Row],[End]],Holidays))</calculatedColumnFormula>
    </tableColumn>
    <tableColumn id="12" xr3:uid="{E440A385-244C-4576-9702-1D63051944A6}" name="Critical" dataDxfId="20"/>
    <tableColumn id="10" xr3:uid="{C6DD5A83-CBC9-44AD-BD99-F6CA706A05E9}" name="Cal days" dataDxfId="19">
      <calculatedColumnFormula>IFERROR(Gantt4567[[#This Row],[End]]-Gantt4567[[#This Row],[Start]],0)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A781D2-FB19-427A-A0FB-D7178C9D4005}" name="nsw_public_holidays_2026_2027" displayName="nsw_public_holidays_2026_2027" ref="A1:B22" tableType="queryTable" totalsRowShown="0">
  <autoFilter ref="A1:B22" xr:uid="{EFA781D2-FB19-427A-A0FB-D7178C9D4005}"/>
  <tableColumns count="2">
    <tableColumn id="1" xr3:uid="{02E31815-50D7-4802-AD78-E4AAAADD33AE}" uniqueName="1" name="Date" queryTableFieldId="1" dataDxfId="18"/>
    <tableColumn id="2" xr3:uid="{C45C6CF8-EB3D-4E50-A4ED-760AEB5D07B1}" uniqueName="2" name="Holiday" queryTableFieldId="2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5122-F518-4BFE-A203-DDA62580FB7F}">
  <sheetPr>
    <tabColor rgb="FFFF0000"/>
  </sheetPr>
  <dimension ref="A1:QM204"/>
  <sheetViews>
    <sheetView tabSelected="1" topLeftCell="E3" zoomScale="86" zoomScaleNormal="50" zoomScalePageLayoutView="53" workbookViewId="0">
      <selection activeCell="R3" sqref="R3"/>
    </sheetView>
  </sheetViews>
  <sheetFormatPr defaultColWidth="8.58203125" defaultRowHeight="15.5" x14ac:dyDescent="0.35"/>
  <cols>
    <col min="1" max="1" width="15.08203125" customWidth="1"/>
    <col min="2" max="2" width="26.9140625" customWidth="1"/>
    <col min="3" max="3" width="4" hidden="1" customWidth="1"/>
    <col min="4" max="4" width="14.08203125" customWidth="1"/>
    <col min="5" max="5" width="20.08203125" style="2" customWidth="1"/>
    <col min="6" max="6" width="20.5" style="57" customWidth="1"/>
    <col min="7" max="7" width="22.5" style="4" customWidth="1"/>
    <col min="8" max="8" width="21.83203125" style="57" customWidth="1"/>
    <col min="9" max="9" width="7.25" style="4" hidden="1" customWidth="1"/>
    <col min="10" max="10" width="7.5" style="65" customWidth="1"/>
    <col min="11" max="11" width="3.58203125" style="4" hidden="1" customWidth="1"/>
    <col min="12" max="12" width="2.58203125" style="4" customWidth="1"/>
    <col min="13" max="76" width="2.1640625" style="30" customWidth="1"/>
    <col min="77" max="430" width="2.1640625" customWidth="1"/>
    <col min="431" max="431" width="2.1640625" style="43" customWidth="1"/>
    <col min="432" max="455" width="2.1640625" customWidth="1"/>
    <col min="456" max="747" width="2.6640625" customWidth="1"/>
  </cols>
  <sheetData>
    <row r="1" spans="1:455" ht="16" thickBot="1" x14ac:dyDescent="0.4">
      <c r="A1" s="3" t="s">
        <v>14</v>
      </c>
      <c r="B1" s="2">
        <f>DATE(2026,2,16)</f>
        <v>46069</v>
      </c>
      <c r="E1"/>
      <c r="F1" s="56" t="s">
        <v>423</v>
      </c>
      <c r="G1" s="52" t="s">
        <v>421</v>
      </c>
      <c r="H1" s="70"/>
      <c r="I1" s="7"/>
      <c r="J1" s="64"/>
      <c r="K1" s="7"/>
      <c r="L1" s="7"/>
    </row>
    <row r="2" spans="1:455" ht="21" customHeight="1" thickBot="1" x14ac:dyDescent="0.4">
      <c r="A2" s="80" t="s">
        <v>419</v>
      </c>
      <c r="B2" s="80"/>
      <c r="C2" s="48"/>
      <c r="D2" s="48"/>
      <c r="E2" s="48"/>
      <c r="F2" s="56" t="s">
        <v>422</v>
      </c>
      <c r="G2" s="53">
        <v>1</v>
      </c>
      <c r="H2" s="70"/>
      <c r="I2" s="7"/>
      <c r="J2" s="64"/>
      <c r="K2" s="7"/>
      <c r="L2" s="7"/>
    </row>
    <row r="3" spans="1:455" ht="66.5" customHeight="1" x14ac:dyDescent="0.35">
      <c r="A3" s="80"/>
      <c r="B3" s="80"/>
      <c r="C3" s="48"/>
      <c r="D3" s="55" t="s">
        <v>429</v>
      </c>
      <c r="E3" s="51" t="s">
        <v>424</v>
      </c>
      <c r="H3" s="71"/>
      <c r="K3" s="7"/>
      <c r="L3" s="81"/>
      <c r="M3" s="33">
        <f>IF(Display_p="yearly",DATE(YEAR(Project_Start)+(Display-1),1,1),
IF(Display_p="quarterly",DATE(YEAR(Project_Start),1+3*(Display-1),1),IF(Display_p="monthly",DATE(YEAR(Project_Start),MONTH(Project_Start)+(Display-1),1),$B$1-WEEKDAY(Project_Start,3)+(Display-1)*7)))</f>
        <v>46069</v>
      </c>
      <c r="N3" s="34">
        <f t="shared" ref="N3:AS3" si="0">IF(show_weekend,M3+1,WORKDAY(M3,1,Holidays))</f>
        <v>46070</v>
      </c>
      <c r="O3" s="34">
        <f t="shared" si="0"/>
        <v>46071</v>
      </c>
      <c r="P3" s="34">
        <f t="shared" si="0"/>
        <v>46072</v>
      </c>
      <c r="Q3" s="34">
        <f t="shared" si="0"/>
        <v>46073</v>
      </c>
      <c r="R3" s="34">
        <f t="shared" si="0"/>
        <v>46076</v>
      </c>
      <c r="S3" s="34">
        <f t="shared" si="0"/>
        <v>46077</v>
      </c>
      <c r="T3" s="34">
        <f t="shared" si="0"/>
        <v>46078</v>
      </c>
      <c r="U3" s="34">
        <f t="shared" si="0"/>
        <v>46079</v>
      </c>
      <c r="V3" s="34">
        <f t="shared" si="0"/>
        <v>46080</v>
      </c>
      <c r="W3" s="34">
        <f t="shared" si="0"/>
        <v>46083</v>
      </c>
      <c r="X3" s="34">
        <f t="shared" si="0"/>
        <v>46084</v>
      </c>
      <c r="Y3" s="34">
        <f t="shared" si="0"/>
        <v>46085</v>
      </c>
      <c r="Z3" s="34">
        <f t="shared" si="0"/>
        <v>46086</v>
      </c>
      <c r="AA3" s="34">
        <f t="shared" si="0"/>
        <v>46087</v>
      </c>
      <c r="AB3" s="34">
        <f t="shared" si="0"/>
        <v>46090</v>
      </c>
      <c r="AC3" s="34">
        <f t="shared" si="0"/>
        <v>46091</v>
      </c>
      <c r="AD3" s="34">
        <f t="shared" si="0"/>
        <v>46092</v>
      </c>
      <c r="AE3" s="34">
        <f t="shared" si="0"/>
        <v>46093</v>
      </c>
      <c r="AF3" s="34">
        <f t="shared" si="0"/>
        <v>46094</v>
      </c>
      <c r="AG3" s="34">
        <f t="shared" si="0"/>
        <v>46097</v>
      </c>
      <c r="AH3" s="34">
        <f t="shared" si="0"/>
        <v>46098</v>
      </c>
      <c r="AI3" s="34">
        <f t="shared" si="0"/>
        <v>46099</v>
      </c>
      <c r="AJ3" s="34">
        <f t="shared" si="0"/>
        <v>46100</v>
      </c>
      <c r="AK3" s="34">
        <f t="shared" si="0"/>
        <v>46101</v>
      </c>
      <c r="AL3" s="34">
        <f t="shared" si="0"/>
        <v>46104</v>
      </c>
      <c r="AM3" s="34">
        <f t="shared" si="0"/>
        <v>46105</v>
      </c>
      <c r="AN3" s="34">
        <f t="shared" si="0"/>
        <v>46106</v>
      </c>
      <c r="AO3" s="34">
        <f t="shared" si="0"/>
        <v>46107</v>
      </c>
      <c r="AP3" s="34">
        <f t="shared" si="0"/>
        <v>46108</v>
      </c>
      <c r="AQ3" s="34">
        <f t="shared" si="0"/>
        <v>46111</v>
      </c>
      <c r="AR3" s="34">
        <f t="shared" si="0"/>
        <v>46112</v>
      </c>
      <c r="AS3" s="34">
        <f t="shared" si="0"/>
        <v>46113</v>
      </c>
      <c r="AT3" s="34">
        <f t="shared" ref="AT3:BM3" si="1">IF(show_weekend,AS3+1,WORKDAY(AS3,1,Holidays))</f>
        <v>46114</v>
      </c>
      <c r="AU3" s="34">
        <f t="shared" si="1"/>
        <v>46119</v>
      </c>
      <c r="AV3" s="34">
        <f t="shared" si="1"/>
        <v>46120</v>
      </c>
      <c r="AW3" s="34">
        <f t="shared" si="1"/>
        <v>46121</v>
      </c>
      <c r="AX3" s="34">
        <f t="shared" si="1"/>
        <v>46122</v>
      </c>
      <c r="AY3" s="34">
        <f t="shared" si="1"/>
        <v>46125</v>
      </c>
      <c r="AZ3" s="34">
        <f t="shared" si="1"/>
        <v>46126</v>
      </c>
      <c r="BA3" s="34">
        <f t="shared" si="1"/>
        <v>46127</v>
      </c>
      <c r="BB3" s="34">
        <f t="shared" si="1"/>
        <v>46128</v>
      </c>
      <c r="BC3" s="34">
        <f t="shared" si="1"/>
        <v>46129</v>
      </c>
      <c r="BD3" s="34">
        <f t="shared" si="1"/>
        <v>46132</v>
      </c>
      <c r="BE3" s="34">
        <f t="shared" si="1"/>
        <v>46133</v>
      </c>
      <c r="BF3" s="34">
        <f t="shared" si="1"/>
        <v>46134</v>
      </c>
      <c r="BG3" s="34">
        <f t="shared" si="1"/>
        <v>46135</v>
      </c>
      <c r="BH3" s="34">
        <f t="shared" si="1"/>
        <v>46136</v>
      </c>
      <c r="BI3" s="34">
        <f t="shared" si="1"/>
        <v>46139</v>
      </c>
      <c r="BJ3" s="34">
        <f t="shared" si="1"/>
        <v>46140</v>
      </c>
      <c r="BK3" s="34">
        <f t="shared" si="1"/>
        <v>46141</v>
      </c>
      <c r="BL3" s="34">
        <f t="shared" si="1"/>
        <v>46142</v>
      </c>
      <c r="BM3" s="34">
        <f t="shared" si="1"/>
        <v>46143</v>
      </c>
      <c r="BN3" s="34">
        <f t="shared" ref="BN3" si="2">IF(show_weekend,BM3+1,WORKDAY(BM3,1,Holidays))</f>
        <v>46146</v>
      </c>
      <c r="BO3" s="34">
        <f t="shared" ref="BO3" si="3">IF(show_weekend,BN3+1,WORKDAY(BN3,1,Holidays))</f>
        <v>46147</v>
      </c>
      <c r="BP3" s="34">
        <f t="shared" ref="BP3" si="4">IF(show_weekend,BO3+1,WORKDAY(BO3,1,Holidays))</f>
        <v>46148</v>
      </c>
      <c r="BQ3" s="34">
        <f t="shared" ref="BQ3" si="5">IF(show_weekend,BP3+1,WORKDAY(BP3,1,Holidays))</f>
        <v>46149</v>
      </c>
      <c r="BR3" s="34">
        <f t="shared" ref="BR3" si="6">IF(show_weekend,BQ3+1,WORKDAY(BQ3,1,Holidays))</f>
        <v>46150</v>
      </c>
      <c r="BS3" s="34">
        <f t="shared" ref="BS3" si="7">IF(show_weekend,BR3+1,WORKDAY(BR3,1,Holidays))</f>
        <v>46153</v>
      </c>
      <c r="BT3" s="34">
        <f t="shared" ref="BT3" si="8">IF(show_weekend,BS3+1,WORKDAY(BS3,1,Holidays))</f>
        <v>46154</v>
      </c>
      <c r="BU3" s="34">
        <f t="shared" ref="BU3" si="9">IF(show_weekend,BT3+1,WORKDAY(BT3,1,Holidays))</f>
        <v>46155</v>
      </c>
      <c r="BV3" s="34">
        <f t="shared" ref="BV3" si="10">IF(show_weekend,BU3+1,WORKDAY(BU3,1,Holidays))</f>
        <v>46156</v>
      </c>
      <c r="BW3" s="34">
        <f t="shared" ref="BW3" si="11">IF(show_weekend,BV3+1,WORKDAY(BV3,1,Holidays))</f>
        <v>46157</v>
      </c>
      <c r="BX3" s="34">
        <f t="shared" ref="BX3" si="12">IF(show_weekend,BW3+1,WORKDAY(BW3,1,Holidays))</f>
        <v>46160</v>
      </c>
      <c r="BY3" s="34">
        <f t="shared" ref="BY3" si="13">IF(show_weekend,BX3+1,WORKDAY(BX3,1,Holidays))</f>
        <v>46161</v>
      </c>
      <c r="BZ3" s="34">
        <f t="shared" ref="BZ3" si="14">IF(show_weekend,BY3+1,WORKDAY(BY3,1,Holidays))</f>
        <v>46162</v>
      </c>
      <c r="CA3" s="34">
        <f t="shared" ref="CA3" si="15">IF(show_weekend,BZ3+1,WORKDAY(BZ3,1,Holidays))</f>
        <v>46163</v>
      </c>
      <c r="CB3" s="34">
        <f t="shared" ref="CB3" si="16">IF(show_weekend,CA3+1,WORKDAY(CA3,1,Holidays))</f>
        <v>46164</v>
      </c>
      <c r="CC3" s="34">
        <f t="shared" ref="CC3" si="17">IF(show_weekend,CB3+1,WORKDAY(CB3,1,Holidays))</f>
        <v>46167</v>
      </c>
      <c r="CD3" s="34">
        <f t="shared" ref="CD3" si="18">IF(show_weekend,CC3+1,WORKDAY(CC3,1,Holidays))</f>
        <v>46168</v>
      </c>
      <c r="CE3" s="34">
        <f t="shared" ref="CE3" si="19">IF(show_weekend,CD3+1,WORKDAY(CD3,1,Holidays))</f>
        <v>46169</v>
      </c>
      <c r="CF3" s="34">
        <f t="shared" ref="CF3" si="20">IF(show_weekend,CE3+1,WORKDAY(CE3,1,Holidays))</f>
        <v>46170</v>
      </c>
      <c r="CG3" s="34">
        <f t="shared" ref="CG3" si="21">IF(show_weekend,CF3+1,WORKDAY(CF3,1,Holidays))</f>
        <v>46171</v>
      </c>
      <c r="CH3" s="34">
        <f t="shared" ref="CH3" si="22">IF(show_weekend,CG3+1,WORKDAY(CG3,1,Holidays))</f>
        <v>46174</v>
      </c>
      <c r="CI3" s="34">
        <f t="shared" ref="CI3" si="23">IF(show_weekend,CH3+1,WORKDAY(CH3,1,Holidays))</f>
        <v>46175</v>
      </c>
      <c r="CJ3" s="34">
        <f t="shared" ref="CJ3" si="24">IF(show_weekend,CI3+1,WORKDAY(CI3,1,Holidays))</f>
        <v>46176</v>
      </c>
      <c r="CK3" s="34">
        <f t="shared" ref="CK3" si="25">IF(show_weekend,CJ3+1,WORKDAY(CJ3,1,Holidays))</f>
        <v>46177</v>
      </c>
      <c r="CL3" s="34">
        <f t="shared" ref="CL3" si="26">IF(show_weekend,CK3+1,WORKDAY(CK3,1,Holidays))</f>
        <v>46178</v>
      </c>
      <c r="CM3" s="34">
        <f t="shared" ref="CM3" si="27">IF(show_weekend,CL3+1,WORKDAY(CL3,1,Holidays))</f>
        <v>46182</v>
      </c>
      <c r="CN3" s="34">
        <f t="shared" ref="CN3" si="28">IF(show_weekend,CM3+1,WORKDAY(CM3,1,Holidays))</f>
        <v>46183</v>
      </c>
      <c r="CO3" s="34">
        <f t="shared" ref="CO3" si="29">IF(show_weekend,CN3+1,WORKDAY(CN3,1,Holidays))</f>
        <v>46184</v>
      </c>
      <c r="CP3" s="34">
        <f t="shared" ref="CP3" si="30">IF(show_weekend,CO3+1,WORKDAY(CO3,1,Holidays))</f>
        <v>46185</v>
      </c>
      <c r="CQ3" s="34">
        <f t="shared" ref="CQ3" si="31">IF(show_weekend,CP3+1,WORKDAY(CP3,1,Holidays))</f>
        <v>46188</v>
      </c>
      <c r="CR3" s="34">
        <f t="shared" ref="CR3" si="32">IF(show_weekend,CQ3+1,WORKDAY(CQ3,1,Holidays))</f>
        <v>46189</v>
      </c>
      <c r="CS3" s="34">
        <f t="shared" ref="CS3" si="33">IF(show_weekend,CR3+1,WORKDAY(CR3,1,Holidays))</f>
        <v>46190</v>
      </c>
      <c r="CT3" s="34">
        <f t="shared" ref="CT3" si="34">IF(show_weekend,CS3+1,WORKDAY(CS3,1,Holidays))</f>
        <v>46191</v>
      </c>
      <c r="CU3" s="34">
        <f t="shared" ref="CU3" si="35">IF(show_weekend,CT3+1,WORKDAY(CT3,1,Holidays))</f>
        <v>46192</v>
      </c>
      <c r="CV3" s="34">
        <f t="shared" ref="CV3" si="36">IF(show_weekend,CU3+1,WORKDAY(CU3,1,Holidays))</f>
        <v>46195</v>
      </c>
      <c r="CW3" s="34">
        <f t="shared" ref="CW3" si="37">IF(show_weekend,CV3+1,WORKDAY(CV3,1,Holidays))</f>
        <v>46196</v>
      </c>
      <c r="CX3" s="34">
        <f t="shared" ref="CX3" si="38">IF(show_weekend,CW3+1,WORKDAY(CW3,1,Holidays))</f>
        <v>46197</v>
      </c>
      <c r="CY3" s="34">
        <f t="shared" ref="CY3" si="39">IF(show_weekend,CX3+1,WORKDAY(CX3,1,Holidays))</f>
        <v>46198</v>
      </c>
      <c r="CZ3" s="34">
        <f t="shared" ref="CZ3" si="40">IF(show_weekend,CY3+1,WORKDAY(CY3,1,Holidays))</f>
        <v>46199</v>
      </c>
      <c r="DA3" s="34">
        <f t="shared" ref="DA3" si="41">IF(show_weekend,CZ3+1,WORKDAY(CZ3,1,Holidays))</f>
        <v>46202</v>
      </c>
      <c r="DB3" s="34">
        <f t="shared" ref="DB3" si="42">IF(show_weekend,DA3+1,WORKDAY(DA3,1,Holidays))</f>
        <v>46203</v>
      </c>
      <c r="DC3" s="34">
        <f t="shared" ref="DC3" si="43">IF(show_weekend,DB3+1,WORKDAY(DB3,1,Holidays))</f>
        <v>46204</v>
      </c>
      <c r="DD3" s="34">
        <f t="shared" ref="DD3" si="44">IF(show_weekend,DC3+1,WORKDAY(DC3,1,Holidays))</f>
        <v>46205</v>
      </c>
      <c r="DE3" s="34">
        <f t="shared" ref="DE3" si="45">IF(show_weekend,DD3+1,WORKDAY(DD3,1,Holidays))</f>
        <v>46206</v>
      </c>
      <c r="DF3" s="34">
        <f t="shared" ref="DF3" si="46">IF(show_weekend,DE3+1,WORKDAY(DE3,1,Holidays))</f>
        <v>46209</v>
      </c>
      <c r="DG3" s="34">
        <f t="shared" ref="DG3" si="47">IF(show_weekend,DF3+1,WORKDAY(DF3,1,Holidays))</f>
        <v>46210</v>
      </c>
      <c r="DH3" s="34">
        <f t="shared" ref="DH3" si="48">IF(show_weekend,DG3+1,WORKDAY(DG3,1,Holidays))</f>
        <v>46211</v>
      </c>
      <c r="DI3" s="34">
        <f t="shared" ref="DI3" si="49">IF(show_weekend,DH3+1,WORKDAY(DH3,1,Holidays))</f>
        <v>46212</v>
      </c>
      <c r="DJ3" s="34">
        <f t="shared" ref="DJ3" si="50">IF(show_weekend,DI3+1,WORKDAY(DI3,1,Holidays))</f>
        <v>46213</v>
      </c>
      <c r="DK3" s="34">
        <f t="shared" ref="DK3" si="51">IF(show_weekend,DJ3+1,WORKDAY(DJ3,1,Holidays))</f>
        <v>46216</v>
      </c>
      <c r="DL3" s="34">
        <f t="shared" ref="DL3" si="52">IF(show_weekend,DK3+1,WORKDAY(DK3,1,Holidays))</f>
        <v>46217</v>
      </c>
      <c r="DM3" s="34">
        <f t="shared" ref="DM3" si="53">IF(show_weekend,DL3+1,WORKDAY(DL3,1,Holidays))</f>
        <v>46218</v>
      </c>
      <c r="DN3" s="34">
        <f t="shared" ref="DN3" si="54">IF(show_weekend,DM3+1,WORKDAY(DM3,1,Holidays))</f>
        <v>46219</v>
      </c>
      <c r="DO3" s="34">
        <f t="shared" ref="DO3" si="55">IF(show_weekend,DN3+1,WORKDAY(DN3,1,Holidays))</f>
        <v>46220</v>
      </c>
      <c r="DP3" s="34">
        <f t="shared" ref="DP3" si="56">IF(show_weekend,DO3+1,WORKDAY(DO3,1,Holidays))</f>
        <v>46223</v>
      </c>
      <c r="DQ3" s="34">
        <f t="shared" ref="DQ3" si="57">IF(show_weekend,DP3+1,WORKDAY(DP3,1,Holidays))</f>
        <v>46224</v>
      </c>
      <c r="DR3" s="34">
        <f t="shared" ref="DR3" si="58">IF(show_weekend,DQ3+1,WORKDAY(DQ3,1,Holidays))</f>
        <v>46225</v>
      </c>
      <c r="DS3" s="34">
        <f t="shared" ref="DS3" si="59">IF(show_weekend,DR3+1,WORKDAY(DR3,1,Holidays))</f>
        <v>46226</v>
      </c>
      <c r="DT3" s="34">
        <f t="shared" ref="DT3" si="60">IF(show_weekend,DS3+1,WORKDAY(DS3,1,Holidays))</f>
        <v>46227</v>
      </c>
      <c r="DU3" s="34">
        <f t="shared" ref="DU3" si="61">IF(show_weekend,DT3+1,WORKDAY(DT3,1,Holidays))</f>
        <v>46230</v>
      </c>
      <c r="DV3" s="34">
        <f t="shared" ref="DV3" si="62">IF(show_weekend,DU3+1,WORKDAY(DU3,1,Holidays))</f>
        <v>46231</v>
      </c>
      <c r="DW3" s="34">
        <f t="shared" ref="DW3" si="63">IF(show_weekend,DV3+1,WORKDAY(DV3,1,Holidays))</f>
        <v>46232</v>
      </c>
      <c r="DX3" s="34">
        <f t="shared" ref="DX3" si="64">IF(show_weekend,DW3+1,WORKDAY(DW3,1,Holidays))</f>
        <v>46233</v>
      </c>
      <c r="DY3" s="34">
        <f t="shared" ref="DY3" si="65">IF(show_weekend,DX3+1,WORKDAY(DX3,1,Holidays))</f>
        <v>46234</v>
      </c>
      <c r="DZ3" s="34">
        <f t="shared" ref="DZ3" si="66">IF(show_weekend,DY3+1,WORKDAY(DY3,1,Holidays))</f>
        <v>46237</v>
      </c>
      <c r="EA3" s="34">
        <f t="shared" ref="EA3" si="67">IF(show_weekend,DZ3+1,WORKDAY(DZ3,1,Holidays))</f>
        <v>46238</v>
      </c>
      <c r="EB3" s="34">
        <f t="shared" ref="EB3" si="68">IF(show_weekend,EA3+1,WORKDAY(EA3,1,Holidays))</f>
        <v>46239</v>
      </c>
      <c r="EC3" s="34">
        <f t="shared" ref="EC3" si="69">IF(show_weekend,EB3+1,WORKDAY(EB3,1,Holidays))</f>
        <v>46240</v>
      </c>
      <c r="ED3" s="34">
        <f t="shared" ref="ED3" si="70">IF(show_weekend,EC3+1,WORKDAY(EC3,1,Holidays))</f>
        <v>46241</v>
      </c>
      <c r="EE3" s="34">
        <f t="shared" ref="EE3" si="71">IF(show_weekend,ED3+1,WORKDAY(ED3,1,Holidays))</f>
        <v>46244</v>
      </c>
      <c r="EF3" s="34">
        <f t="shared" ref="EF3" si="72">IF(show_weekend,EE3+1,WORKDAY(EE3,1,Holidays))</f>
        <v>46245</v>
      </c>
      <c r="EG3" s="34">
        <f t="shared" ref="EG3" si="73">IF(show_weekend,EF3+1,WORKDAY(EF3,1,Holidays))</f>
        <v>46246</v>
      </c>
      <c r="EH3" s="34">
        <f t="shared" ref="EH3" si="74">IF(show_weekend,EG3+1,WORKDAY(EG3,1,Holidays))</f>
        <v>46247</v>
      </c>
      <c r="EI3" s="34">
        <f t="shared" ref="EI3" si="75">IF(show_weekend,EH3+1,WORKDAY(EH3,1,Holidays))</f>
        <v>46248</v>
      </c>
      <c r="EJ3" s="34">
        <f t="shared" ref="EJ3" si="76">IF(show_weekend,EI3+1,WORKDAY(EI3,1,Holidays))</f>
        <v>46251</v>
      </c>
      <c r="EK3" s="34">
        <f t="shared" ref="EK3" si="77">IF(show_weekend,EJ3+1,WORKDAY(EJ3,1,Holidays))</f>
        <v>46252</v>
      </c>
      <c r="EL3" s="34">
        <f t="shared" ref="EL3" si="78">IF(show_weekend,EK3+1,WORKDAY(EK3,1,Holidays))</f>
        <v>46253</v>
      </c>
      <c r="EM3" s="34">
        <f t="shared" ref="EM3" si="79">IF(show_weekend,EL3+1,WORKDAY(EL3,1,Holidays))</f>
        <v>46254</v>
      </c>
      <c r="EN3" s="34">
        <f t="shared" ref="EN3" si="80">IF(show_weekend,EM3+1,WORKDAY(EM3,1,Holidays))</f>
        <v>46255</v>
      </c>
      <c r="EO3" s="34">
        <f t="shared" ref="EO3" si="81">IF(show_weekend,EN3+1,WORKDAY(EN3,1,Holidays))</f>
        <v>46258</v>
      </c>
      <c r="EP3" s="34">
        <f t="shared" ref="EP3" si="82">IF(show_weekend,EO3+1,WORKDAY(EO3,1,Holidays))</f>
        <v>46259</v>
      </c>
      <c r="EQ3" s="34">
        <f t="shared" ref="EQ3" si="83">IF(show_weekend,EP3+1,WORKDAY(EP3,1,Holidays))</f>
        <v>46260</v>
      </c>
      <c r="ER3" s="34">
        <f t="shared" ref="ER3" si="84">IF(show_weekend,EQ3+1,WORKDAY(EQ3,1,Holidays))</f>
        <v>46261</v>
      </c>
      <c r="ES3" s="34">
        <f t="shared" ref="ES3" si="85">IF(show_weekend,ER3+1,WORKDAY(ER3,1,Holidays))</f>
        <v>46262</v>
      </c>
      <c r="ET3" s="34">
        <f t="shared" ref="ET3" si="86">IF(show_weekend,ES3+1,WORKDAY(ES3,1,Holidays))</f>
        <v>46265</v>
      </c>
      <c r="EU3" s="34">
        <f t="shared" ref="EU3" si="87">IF(show_weekend,ET3+1,WORKDAY(ET3,1,Holidays))</f>
        <v>46266</v>
      </c>
      <c r="EV3" s="34">
        <f t="shared" ref="EV3" si="88">IF(show_weekend,EU3+1,WORKDAY(EU3,1,Holidays))</f>
        <v>46267</v>
      </c>
      <c r="EW3" s="34">
        <f t="shared" ref="EW3" si="89">IF(show_weekend,EV3+1,WORKDAY(EV3,1,Holidays))</f>
        <v>46268</v>
      </c>
      <c r="EX3" s="34">
        <f t="shared" ref="EX3" si="90">IF(show_weekend,EW3+1,WORKDAY(EW3,1,Holidays))</f>
        <v>46269</v>
      </c>
      <c r="EY3" s="34">
        <f t="shared" ref="EY3" si="91">IF(show_weekend,EX3+1,WORKDAY(EX3,1,Holidays))</f>
        <v>46272</v>
      </c>
      <c r="EZ3" s="34">
        <f t="shared" ref="EZ3" si="92">IF(show_weekend,EY3+1,WORKDAY(EY3,1,Holidays))</f>
        <v>46273</v>
      </c>
      <c r="FA3" s="34">
        <f t="shared" ref="FA3" si="93">IF(show_weekend,EZ3+1,WORKDAY(EZ3,1,Holidays))</f>
        <v>46274</v>
      </c>
      <c r="FB3" s="34">
        <f t="shared" ref="FB3" si="94">IF(show_weekend,FA3+1,WORKDAY(FA3,1,Holidays))</f>
        <v>46275</v>
      </c>
      <c r="FC3" s="34">
        <f t="shared" ref="FC3" si="95">IF(show_weekend,FB3+1,WORKDAY(FB3,1,Holidays))</f>
        <v>46276</v>
      </c>
      <c r="FD3" s="34">
        <f t="shared" ref="FD3" si="96">IF(show_weekend,FC3+1,WORKDAY(FC3,1,Holidays))</f>
        <v>46279</v>
      </c>
      <c r="FE3" s="34">
        <f t="shared" ref="FE3" si="97">IF(show_weekend,FD3+1,WORKDAY(FD3,1,Holidays))</f>
        <v>46280</v>
      </c>
      <c r="FF3" s="34">
        <f t="shared" ref="FF3" si="98">IF(show_weekend,FE3+1,WORKDAY(FE3,1,Holidays))</f>
        <v>46281</v>
      </c>
      <c r="FG3" s="34">
        <f t="shared" ref="FG3" si="99">IF(show_weekend,FF3+1,WORKDAY(FF3,1,Holidays))</f>
        <v>46282</v>
      </c>
      <c r="FH3" s="34">
        <f t="shared" ref="FH3" si="100">IF(show_weekend,FG3+1,WORKDAY(FG3,1,Holidays))</f>
        <v>46283</v>
      </c>
      <c r="FI3" s="34">
        <f t="shared" ref="FI3" si="101">IF(show_weekend,FH3+1,WORKDAY(FH3,1,Holidays))</f>
        <v>46286</v>
      </c>
      <c r="FJ3" s="34">
        <f t="shared" ref="FJ3" si="102">IF(show_weekend,FI3+1,WORKDAY(FI3,1,Holidays))</f>
        <v>46287</v>
      </c>
      <c r="FK3" s="34">
        <f t="shared" ref="FK3" si="103">IF(show_weekend,FJ3+1,WORKDAY(FJ3,1,Holidays))</f>
        <v>46288</v>
      </c>
      <c r="FL3" s="34">
        <f t="shared" ref="FL3" si="104">IF(show_weekend,FK3+1,WORKDAY(FK3,1,Holidays))</f>
        <v>46289</v>
      </c>
      <c r="FM3" s="34">
        <f t="shared" ref="FM3" si="105">IF(show_weekend,FL3+1,WORKDAY(FL3,1,Holidays))</f>
        <v>46290</v>
      </c>
      <c r="FN3" s="34">
        <f t="shared" ref="FN3" si="106">IF(show_weekend,FM3+1,WORKDAY(FM3,1,Holidays))</f>
        <v>46293</v>
      </c>
      <c r="FO3" s="34">
        <f t="shared" ref="FO3" si="107">IF(show_weekend,FN3+1,WORKDAY(FN3,1,Holidays))</f>
        <v>46294</v>
      </c>
      <c r="FP3" s="34">
        <f t="shared" ref="FP3" si="108">IF(show_weekend,FO3+1,WORKDAY(FO3,1,Holidays))</f>
        <v>46295</v>
      </c>
      <c r="FQ3" s="34">
        <f t="shared" ref="FQ3" si="109">IF(show_weekend,FP3+1,WORKDAY(FP3,1,Holidays))</f>
        <v>46296</v>
      </c>
      <c r="FR3" s="34">
        <f t="shared" ref="FR3" si="110">IF(show_weekend,FQ3+1,WORKDAY(FQ3,1,Holidays))</f>
        <v>46297</v>
      </c>
      <c r="FS3" s="34">
        <f t="shared" ref="FS3" si="111">IF(show_weekend,FR3+1,WORKDAY(FR3,1,Holidays))</f>
        <v>46301</v>
      </c>
      <c r="FT3" s="34">
        <f t="shared" ref="FT3" si="112">IF(show_weekend,FS3+1,WORKDAY(FS3,1,Holidays))</f>
        <v>46302</v>
      </c>
      <c r="FU3" s="34">
        <f t="shared" ref="FU3" si="113">IF(show_weekend,FT3+1,WORKDAY(FT3,1,Holidays))</f>
        <v>46303</v>
      </c>
      <c r="FV3" s="34">
        <f t="shared" ref="FV3" si="114">IF(show_weekend,FU3+1,WORKDAY(FU3,1,Holidays))</f>
        <v>46304</v>
      </c>
      <c r="FW3" s="34">
        <f t="shared" ref="FW3" si="115">IF(show_weekend,FV3+1,WORKDAY(FV3,1,Holidays))</f>
        <v>46307</v>
      </c>
      <c r="FX3" s="34">
        <f t="shared" ref="FX3" si="116">IF(show_weekend,FW3+1,WORKDAY(FW3,1,Holidays))</f>
        <v>46308</v>
      </c>
      <c r="FY3" s="34">
        <f t="shared" ref="FY3" si="117">IF(show_weekend,FX3+1,WORKDAY(FX3,1,Holidays))</f>
        <v>46309</v>
      </c>
      <c r="FZ3" s="34">
        <f t="shared" ref="FZ3" si="118">IF(show_weekend,FY3+1,WORKDAY(FY3,1,Holidays))</f>
        <v>46310</v>
      </c>
      <c r="GA3" s="34">
        <f t="shared" ref="GA3" si="119">IF(show_weekend,FZ3+1,WORKDAY(FZ3,1,Holidays))</f>
        <v>46311</v>
      </c>
      <c r="GB3" s="34">
        <f t="shared" ref="GB3" si="120">IF(show_weekend,GA3+1,WORKDAY(GA3,1,Holidays))</f>
        <v>46314</v>
      </c>
      <c r="GC3" s="34">
        <f t="shared" ref="GC3" si="121">IF(show_weekend,GB3+1,WORKDAY(GB3,1,Holidays))</f>
        <v>46315</v>
      </c>
      <c r="GD3" s="34">
        <f t="shared" ref="GD3" si="122">IF(show_weekend,GC3+1,WORKDAY(GC3,1,Holidays))</f>
        <v>46316</v>
      </c>
      <c r="GE3" s="34">
        <f t="shared" ref="GE3" si="123">IF(show_weekend,GD3+1,WORKDAY(GD3,1,Holidays))</f>
        <v>46317</v>
      </c>
      <c r="GF3" s="34">
        <f t="shared" ref="GF3" si="124">IF(show_weekend,GE3+1,WORKDAY(GE3,1,Holidays))</f>
        <v>46318</v>
      </c>
      <c r="GG3" s="34">
        <f t="shared" ref="GG3" si="125">IF(show_weekend,GF3+1,WORKDAY(GF3,1,Holidays))</f>
        <v>46321</v>
      </c>
      <c r="GH3" s="34">
        <f t="shared" ref="GH3" si="126">IF(show_weekend,GG3+1,WORKDAY(GG3,1,Holidays))</f>
        <v>46322</v>
      </c>
      <c r="GI3" s="34">
        <f t="shared" ref="GI3" si="127">IF(show_weekend,GH3+1,WORKDAY(GH3,1,Holidays))</f>
        <v>46323</v>
      </c>
      <c r="GJ3" s="34">
        <f t="shared" ref="GJ3" si="128">IF(show_weekend,GI3+1,WORKDAY(GI3,1,Holidays))</f>
        <v>46324</v>
      </c>
      <c r="GK3" s="34">
        <f t="shared" ref="GK3" si="129">IF(show_weekend,GJ3+1,WORKDAY(GJ3,1,Holidays))</f>
        <v>46325</v>
      </c>
      <c r="GL3" s="34">
        <f t="shared" ref="GL3" si="130">IF(show_weekend,GK3+1,WORKDAY(GK3,1,Holidays))</f>
        <v>46328</v>
      </c>
      <c r="GM3" s="34">
        <f t="shared" ref="GM3" si="131">IF(show_weekend,GL3+1,WORKDAY(GL3,1,Holidays))</f>
        <v>46329</v>
      </c>
      <c r="GN3" s="34">
        <f t="shared" ref="GN3" si="132">IF(show_weekend,GM3+1,WORKDAY(GM3,1,Holidays))</f>
        <v>46330</v>
      </c>
      <c r="GO3" s="34">
        <f t="shared" ref="GO3" si="133">IF(show_weekend,GN3+1,WORKDAY(GN3,1,Holidays))</f>
        <v>46331</v>
      </c>
      <c r="GP3" s="34">
        <f t="shared" ref="GP3" si="134">IF(show_weekend,GO3+1,WORKDAY(GO3,1,Holidays))</f>
        <v>46332</v>
      </c>
      <c r="GQ3" s="34">
        <f t="shared" ref="GQ3" si="135">IF(show_weekend,GP3+1,WORKDAY(GP3,1,Holidays))</f>
        <v>46335</v>
      </c>
      <c r="GR3" s="34">
        <f t="shared" ref="GR3" si="136">IF(show_weekend,GQ3+1,WORKDAY(GQ3,1,Holidays))</f>
        <v>46336</v>
      </c>
      <c r="GS3" s="34">
        <f t="shared" ref="GS3" si="137">IF(show_weekend,GR3+1,WORKDAY(GR3,1,Holidays))</f>
        <v>46337</v>
      </c>
      <c r="GT3" s="34">
        <f t="shared" ref="GT3" si="138">IF(show_weekend,GS3+1,WORKDAY(GS3,1,Holidays))</f>
        <v>46338</v>
      </c>
      <c r="GU3" s="34">
        <f t="shared" ref="GU3" si="139">IF(show_weekend,GT3+1,WORKDAY(GT3,1,Holidays))</f>
        <v>46339</v>
      </c>
      <c r="GV3" s="34">
        <f t="shared" ref="GV3" si="140">IF(show_weekend,GU3+1,WORKDAY(GU3,1,Holidays))</f>
        <v>46342</v>
      </c>
      <c r="GW3" s="34">
        <f t="shared" ref="GW3" si="141">IF(show_weekend,GV3+1,WORKDAY(GV3,1,Holidays))</f>
        <v>46343</v>
      </c>
      <c r="GX3" s="34">
        <f t="shared" ref="GX3" si="142">IF(show_weekend,GW3+1,WORKDAY(GW3,1,Holidays))</f>
        <v>46344</v>
      </c>
      <c r="GY3" s="34">
        <f t="shared" ref="GY3" si="143">IF(show_weekend,GX3+1,WORKDAY(GX3,1,Holidays))</f>
        <v>46345</v>
      </c>
      <c r="GZ3" s="34">
        <f t="shared" ref="GZ3" si="144">IF(show_weekend,GY3+1,WORKDAY(GY3,1,Holidays))</f>
        <v>46346</v>
      </c>
      <c r="HA3" s="34">
        <f t="shared" ref="HA3" si="145">IF(show_weekend,GZ3+1,WORKDAY(GZ3,1,Holidays))</f>
        <v>46349</v>
      </c>
      <c r="HB3" s="34">
        <f t="shared" ref="HB3" si="146">IF(show_weekend,HA3+1,WORKDAY(HA3,1,Holidays))</f>
        <v>46350</v>
      </c>
      <c r="HC3" s="34">
        <f t="shared" ref="HC3" si="147">IF(show_weekend,HB3+1,WORKDAY(HB3,1,Holidays))</f>
        <v>46351</v>
      </c>
      <c r="HD3" s="34">
        <f t="shared" ref="HD3" si="148">IF(show_weekend,HC3+1,WORKDAY(HC3,1,Holidays))</f>
        <v>46352</v>
      </c>
      <c r="HE3" s="34">
        <f t="shared" ref="HE3" si="149">IF(show_weekend,HD3+1,WORKDAY(HD3,1,Holidays))</f>
        <v>46353</v>
      </c>
      <c r="HF3" s="34">
        <f t="shared" ref="HF3" si="150">IF(show_weekend,HE3+1,WORKDAY(HE3,1,Holidays))</f>
        <v>46356</v>
      </c>
      <c r="HG3" s="34">
        <f t="shared" ref="HG3" si="151">IF(show_weekend,HF3+1,WORKDAY(HF3,1,Holidays))</f>
        <v>46357</v>
      </c>
      <c r="HH3" s="34">
        <f t="shared" ref="HH3" si="152">IF(show_weekend,HG3+1,WORKDAY(HG3,1,Holidays))</f>
        <v>46358</v>
      </c>
      <c r="HI3" s="34">
        <f t="shared" ref="HI3" si="153">IF(show_weekend,HH3+1,WORKDAY(HH3,1,Holidays))</f>
        <v>46359</v>
      </c>
      <c r="HJ3" s="34">
        <f t="shared" ref="HJ3" si="154">IF(show_weekend,HI3+1,WORKDAY(HI3,1,Holidays))</f>
        <v>46360</v>
      </c>
      <c r="HK3" s="34">
        <f t="shared" ref="HK3" si="155">IF(show_weekend,HJ3+1,WORKDAY(HJ3,1,Holidays))</f>
        <v>46363</v>
      </c>
      <c r="HL3" s="34">
        <f t="shared" ref="HL3" si="156">IF(show_weekend,HK3+1,WORKDAY(HK3,1,Holidays))</f>
        <v>46364</v>
      </c>
      <c r="HM3" s="34">
        <f t="shared" ref="HM3" si="157">IF(show_weekend,HL3+1,WORKDAY(HL3,1,Holidays))</f>
        <v>46365</v>
      </c>
      <c r="HN3" s="34">
        <f t="shared" ref="HN3" si="158">IF(show_weekend,HM3+1,WORKDAY(HM3,1,Holidays))</f>
        <v>46366</v>
      </c>
      <c r="HO3" s="34">
        <f t="shared" ref="HO3" si="159">IF(show_weekend,HN3+1,WORKDAY(HN3,1,Holidays))</f>
        <v>46367</v>
      </c>
      <c r="HP3" s="34">
        <f t="shared" ref="HP3" si="160">IF(show_weekend,HO3+1,WORKDAY(HO3,1,Holidays))</f>
        <v>46370</v>
      </c>
      <c r="HQ3" s="34">
        <f t="shared" ref="HQ3" si="161">IF(show_weekend,HP3+1,WORKDAY(HP3,1,Holidays))</f>
        <v>46371</v>
      </c>
      <c r="HR3" s="34">
        <f t="shared" ref="HR3" si="162">IF(show_weekend,HQ3+1,WORKDAY(HQ3,1,Holidays))</f>
        <v>46372</v>
      </c>
      <c r="HS3" s="34">
        <f t="shared" ref="HS3" si="163">IF(show_weekend,HR3+1,WORKDAY(HR3,1,Holidays))</f>
        <v>46373</v>
      </c>
      <c r="HT3" s="34">
        <f t="shared" ref="HT3" si="164">IF(show_weekend,HS3+1,WORKDAY(HS3,1,Holidays))</f>
        <v>46374</v>
      </c>
      <c r="HU3" s="34">
        <f t="shared" ref="HU3" si="165">IF(show_weekend,HT3+1,WORKDAY(HT3,1,Holidays))</f>
        <v>46377</v>
      </c>
      <c r="HV3" s="34">
        <f t="shared" ref="HV3" si="166">IF(show_weekend,HU3+1,WORKDAY(HU3,1,Holidays))</f>
        <v>46378</v>
      </c>
      <c r="HW3" s="34">
        <f t="shared" ref="HW3" si="167">IF(show_weekend,HV3+1,WORKDAY(HV3,1,Holidays))</f>
        <v>46379</v>
      </c>
      <c r="HX3" s="34">
        <f t="shared" ref="HX3" si="168">IF(show_weekend,HW3+1,WORKDAY(HW3,1,Holidays))</f>
        <v>46380</v>
      </c>
      <c r="HY3" s="34">
        <f t="shared" ref="HY3" si="169">IF(show_weekend,HX3+1,WORKDAY(HX3,1,Holidays))</f>
        <v>46385</v>
      </c>
      <c r="HZ3" s="34">
        <f t="shared" ref="HZ3" si="170">IF(show_weekend,HY3+1,WORKDAY(HY3,1,Holidays))</f>
        <v>46386</v>
      </c>
      <c r="IA3" s="34">
        <f t="shared" ref="IA3" si="171">IF(show_weekend,HZ3+1,WORKDAY(HZ3,1,Holidays))</f>
        <v>46387</v>
      </c>
      <c r="IB3" s="34">
        <f t="shared" ref="IB3" si="172">IF(show_weekend,IA3+1,WORKDAY(IA3,1,Holidays))</f>
        <v>46391</v>
      </c>
      <c r="IC3" s="34">
        <f t="shared" ref="IC3" si="173">IF(show_weekend,IB3+1,WORKDAY(IB3,1,Holidays))</f>
        <v>46392</v>
      </c>
      <c r="ID3" s="34">
        <f t="shared" ref="ID3" si="174">IF(show_weekend,IC3+1,WORKDAY(IC3,1,Holidays))</f>
        <v>46393</v>
      </c>
      <c r="IE3" s="34">
        <f t="shared" ref="IE3" si="175">IF(show_weekend,ID3+1,WORKDAY(ID3,1,Holidays))</f>
        <v>46394</v>
      </c>
      <c r="IF3" s="34">
        <f t="shared" ref="IF3" si="176">IF(show_weekend,IE3+1,WORKDAY(IE3,1,Holidays))</f>
        <v>46395</v>
      </c>
      <c r="IG3" s="34">
        <f t="shared" ref="IG3" si="177">IF(show_weekend,IF3+1,WORKDAY(IF3,1,Holidays))</f>
        <v>46398</v>
      </c>
      <c r="IH3" s="34">
        <f t="shared" ref="IH3" si="178">IF(show_weekend,IG3+1,WORKDAY(IG3,1,Holidays))</f>
        <v>46399</v>
      </c>
      <c r="II3" s="34">
        <f t="shared" ref="II3" si="179">IF(show_weekend,IH3+1,WORKDAY(IH3,1,Holidays))</f>
        <v>46400</v>
      </c>
      <c r="IJ3" s="34">
        <f t="shared" ref="IJ3" si="180">IF(show_weekend,II3+1,WORKDAY(II3,1,Holidays))</f>
        <v>46401</v>
      </c>
      <c r="IK3" s="34">
        <f t="shared" ref="IK3" si="181">IF(show_weekend,IJ3+1,WORKDAY(IJ3,1,Holidays))</f>
        <v>46402</v>
      </c>
      <c r="IL3" s="34">
        <f t="shared" ref="IL3" si="182">IF(show_weekend,IK3+1,WORKDAY(IK3,1,Holidays))</f>
        <v>46405</v>
      </c>
      <c r="IM3" s="34">
        <f t="shared" ref="IM3" si="183">IF(show_weekend,IL3+1,WORKDAY(IL3,1,Holidays))</f>
        <v>46406</v>
      </c>
      <c r="IN3" s="34">
        <f t="shared" ref="IN3" si="184">IF(show_weekend,IM3+1,WORKDAY(IM3,1,Holidays))</f>
        <v>46407</v>
      </c>
      <c r="IO3" s="34">
        <f t="shared" ref="IO3" si="185">IF(show_weekend,IN3+1,WORKDAY(IN3,1,Holidays))</f>
        <v>46408</v>
      </c>
      <c r="IP3" s="34">
        <f t="shared" ref="IP3" si="186">IF(show_weekend,IO3+1,WORKDAY(IO3,1,Holidays))</f>
        <v>46409</v>
      </c>
      <c r="IQ3" s="34">
        <f t="shared" ref="IQ3" si="187">IF(show_weekend,IP3+1,WORKDAY(IP3,1,Holidays))</f>
        <v>46412</v>
      </c>
      <c r="IR3" s="34">
        <f t="shared" ref="IR3" si="188">IF(show_weekend,IQ3+1,WORKDAY(IQ3,1,Holidays))</f>
        <v>46414</v>
      </c>
      <c r="IS3" s="34">
        <f t="shared" ref="IS3" si="189">IF(show_weekend,IR3+1,WORKDAY(IR3,1,Holidays))</f>
        <v>46415</v>
      </c>
      <c r="IT3" s="34">
        <f t="shared" ref="IT3" si="190">IF(show_weekend,IS3+1,WORKDAY(IS3,1,Holidays))</f>
        <v>46416</v>
      </c>
      <c r="IU3" s="34">
        <f t="shared" ref="IU3" si="191">IF(show_weekend,IT3+1,WORKDAY(IT3,1,Holidays))</f>
        <v>46419</v>
      </c>
      <c r="IV3" s="34">
        <f t="shared" ref="IV3" si="192">IF(show_weekend,IU3+1,WORKDAY(IU3,1,Holidays))</f>
        <v>46420</v>
      </c>
      <c r="IW3" s="34">
        <f t="shared" ref="IW3" si="193">IF(show_weekend,IV3+1,WORKDAY(IV3,1,Holidays))</f>
        <v>46421</v>
      </c>
      <c r="IX3" s="34">
        <f t="shared" ref="IX3" si="194">IF(show_weekend,IW3+1,WORKDAY(IW3,1,Holidays))</f>
        <v>46422</v>
      </c>
      <c r="IY3" s="34">
        <f t="shared" ref="IY3" si="195">IF(show_weekend,IX3+1,WORKDAY(IX3,1,Holidays))</f>
        <v>46423</v>
      </c>
      <c r="IZ3" s="34">
        <f t="shared" ref="IZ3" si="196">IF(show_weekend,IY3+1,WORKDAY(IY3,1,Holidays))</f>
        <v>46426</v>
      </c>
      <c r="JA3" s="34">
        <f t="shared" ref="JA3" si="197">IF(show_weekend,IZ3+1,WORKDAY(IZ3,1,Holidays))</f>
        <v>46427</v>
      </c>
      <c r="JB3" s="34">
        <f t="shared" ref="JB3" si="198">IF(show_weekend,JA3+1,WORKDAY(JA3,1,Holidays))</f>
        <v>46428</v>
      </c>
      <c r="JC3" s="34">
        <f t="shared" ref="JC3" si="199">IF(show_weekend,JB3+1,WORKDAY(JB3,1,Holidays))</f>
        <v>46429</v>
      </c>
      <c r="JD3" s="34">
        <f t="shared" ref="JD3" si="200">IF(show_weekend,JC3+1,WORKDAY(JC3,1,Holidays))</f>
        <v>46430</v>
      </c>
      <c r="JE3" s="34">
        <f t="shared" ref="JE3" si="201">IF(show_weekend,JD3+1,WORKDAY(JD3,1,Holidays))</f>
        <v>46433</v>
      </c>
      <c r="JF3" s="34">
        <f t="shared" ref="JF3" si="202">IF(show_weekend,JE3+1,WORKDAY(JE3,1,Holidays))</f>
        <v>46434</v>
      </c>
      <c r="JG3" s="34">
        <f t="shared" ref="JG3" si="203">IF(show_weekend,JF3+1,WORKDAY(JF3,1,Holidays))</f>
        <v>46435</v>
      </c>
      <c r="JH3" s="34">
        <f t="shared" ref="JH3" si="204">IF(show_weekend,JG3+1,WORKDAY(JG3,1,Holidays))</f>
        <v>46436</v>
      </c>
      <c r="JI3" s="34">
        <f t="shared" ref="JI3" si="205">IF(show_weekend,JH3+1,WORKDAY(JH3,1,Holidays))</f>
        <v>46437</v>
      </c>
      <c r="JJ3" s="34">
        <f t="shared" ref="JJ3" si="206">IF(show_weekend,JI3+1,WORKDAY(JI3,1,Holidays))</f>
        <v>46440</v>
      </c>
      <c r="JK3" s="34">
        <f t="shared" ref="JK3" si="207">IF(show_weekend,JJ3+1,WORKDAY(JJ3,1,Holidays))</f>
        <v>46441</v>
      </c>
      <c r="JL3" s="34">
        <f t="shared" ref="JL3" si="208">IF(show_weekend,JK3+1,WORKDAY(JK3,1,Holidays))</f>
        <v>46442</v>
      </c>
      <c r="JM3" s="34">
        <f t="shared" ref="JM3" si="209">IF(show_weekend,JL3+1,WORKDAY(JL3,1,Holidays))</f>
        <v>46443</v>
      </c>
      <c r="JN3" s="34">
        <f t="shared" ref="JN3" si="210">IF(show_weekend,JM3+1,WORKDAY(JM3,1,Holidays))</f>
        <v>46444</v>
      </c>
      <c r="JO3" s="34">
        <f t="shared" ref="JO3" si="211">IF(show_weekend,JN3+1,WORKDAY(JN3,1,Holidays))</f>
        <v>46447</v>
      </c>
      <c r="JP3" s="34">
        <f t="shared" ref="JP3" si="212">IF(show_weekend,JO3+1,WORKDAY(JO3,1,Holidays))</f>
        <v>46448</v>
      </c>
      <c r="JQ3" s="34">
        <f t="shared" ref="JQ3" si="213">IF(show_weekend,JP3+1,WORKDAY(JP3,1,Holidays))</f>
        <v>46449</v>
      </c>
      <c r="JR3" s="34">
        <f t="shared" ref="JR3" si="214">IF(show_weekend,JQ3+1,WORKDAY(JQ3,1,Holidays))</f>
        <v>46450</v>
      </c>
      <c r="JS3" s="34">
        <f t="shared" ref="JS3" si="215">IF(show_weekend,JR3+1,WORKDAY(JR3,1,Holidays))</f>
        <v>46451</v>
      </c>
      <c r="JT3" s="34">
        <f t="shared" ref="JT3" si="216">IF(show_weekend,JS3+1,WORKDAY(JS3,1,Holidays))</f>
        <v>46454</v>
      </c>
      <c r="JU3" s="34">
        <f t="shared" ref="JU3" si="217">IF(show_weekend,JT3+1,WORKDAY(JT3,1,Holidays))</f>
        <v>46455</v>
      </c>
      <c r="JV3" s="34">
        <f t="shared" ref="JV3" si="218">IF(show_weekend,JU3+1,WORKDAY(JU3,1,Holidays))</f>
        <v>46456</v>
      </c>
      <c r="JW3" s="34">
        <f t="shared" ref="JW3" si="219">IF(show_weekend,JV3+1,WORKDAY(JV3,1,Holidays))</f>
        <v>46457</v>
      </c>
      <c r="JX3" s="34">
        <f t="shared" ref="JX3" si="220">IF(show_weekend,JW3+1,WORKDAY(JW3,1,Holidays))</f>
        <v>46458</v>
      </c>
      <c r="JY3" s="34">
        <f t="shared" ref="JY3" si="221">IF(show_weekend,JX3+1,WORKDAY(JX3,1,Holidays))</f>
        <v>46461</v>
      </c>
      <c r="JZ3" s="34">
        <f t="shared" ref="JZ3" si="222">IF(show_weekend,JY3+1,WORKDAY(JY3,1,Holidays))</f>
        <v>46462</v>
      </c>
      <c r="KA3" s="34">
        <f t="shared" ref="KA3" si="223">IF(show_weekend,JZ3+1,WORKDAY(JZ3,1,Holidays))</f>
        <v>46463</v>
      </c>
      <c r="KB3" s="34">
        <f t="shared" ref="KB3" si="224">IF(show_weekend,KA3+1,WORKDAY(KA3,1,Holidays))</f>
        <v>46464</v>
      </c>
      <c r="KC3" s="34">
        <f t="shared" ref="KC3" si="225">IF(show_weekend,KB3+1,WORKDAY(KB3,1,Holidays))</f>
        <v>46465</v>
      </c>
      <c r="KD3" s="34">
        <f t="shared" ref="KD3" si="226">IF(show_weekend,KC3+1,WORKDAY(KC3,1,Holidays))</f>
        <v>46468</v>
      </c>
      <c r="KE3" s="34">
        <f t="shared" ref="KE3" si="227">IF(show_weekend,KD3+1,WORKDAY(KD3,1,Holidays))</f>
        <v>46469</v>
      </c>
      <c r="KF3" s="34">
        <f t="shared" ref="KF3" si="228">IF(show_weekend,KE3+1,WORKDAY(KE3,1,Holidays))</f>
        <v>46470</v>
      </c>
      <c r="KG3" s="34">
        <f t="shared" ref="KG3" si="229">IF(show_weekend,KF3+1,WORKDAY(KF3,1,Holidays))</f>
        <v>46471</v>
      </c>
      <c r="KH3" s="34">
        <f t="shared" ref="KH3" si="230">IF(show_weekend,KG3+1,WORKDAY(KG3,1,Holidays))</f>
        <v>46476</v>
      </c>
      <c r="KI3" s="34">
        <f t="shared" ref="KI3" si="231">IF(show_weekend,KH3+1,WORKDAY(KH3,1,Holidays))</f>
        <v>46477</v>
      </c>
      <c r="KJ3" s="34">
        <f t="shared" ref="KJ3" si="232">IF(show_weekend,KI3+1,WORKDAY(KI3,1,Holidays))</f>
        <v>46478</v>
      </c>
      <c r="KK3" s="34">
        <f t="shared" ref="KK3" si="233">IF(show_weekend,KJ3+1,WORKDAY(KJ3,1,Holidays))</f>
        <v>46479</v>
      </c>
      <c r="KL3" s="34">
        <f t="shared" ref="KL3" si="234">IF(show_weekend,KK3+1,WORKDAY(KK3,1,Holidays))</f>
        <v>46482</v>
      </c>
      <c r="KM3" s="34">
        <f t="shared" ref="KM3" si="235">IF(show_weekend,KL3+1,WORKDAY(KL3,1,Holidays))</f>
        <v>46483</v>
      </c>
      <c r="KN3" s="34">
        <f t="shared" ref="KN3" si="236">IF(show_weekend,KM3+1,WORKDAY(KM3,1,Holidays))</f>
        <v>46484</v>
      </c>
      <c r="KO3" s="34">
        <f t="shared" ref="KO3" si="237">IF(show_weekend,KN3+1,WORKDAY(KN3,1,Holidays))</f>
        <v>46485</v>
      </c>
      <c r="KP3" s="34">
        <f t="shared" ref="KP3" si="238">IF(show_weekend,KO3+1,WORKDAY(KO3,1,Holidays))</f>
        <v>46486</v>
      </c>
      <c r="KQ3" s="34">
        <f t="shared" ref="KQ3" si="239">IF(show_weekend,KP3+1,WORKDAY(KP3,1,Holidays))</f>
        <v>46489</v>
      </c>
      <c r="KR3" s="34">
        <f t="shared" ref="KR3" si="240">IF(show_weekend,KQ3+1,WORKDAY(KQ3,1,Holidays))</f>
        <v>46490</v>
      </c>
      <c r="KS3" s="34">
        <f t="shared" ref="KS3" si="241">IF(show_weekend,KR3+1,WORKDAY(KR3,1,Holidays))</f>
        <v>46491</v>
      </c>
      <c r="KT3" s="34">
        <f t="shared" ref="KT3" si="242">IF(show_weekend,KS3+1,WORKDAY(KS3,1,Holidays))</f>
        <v>46492</v>
      </c>
      <c r="KU3" s="34">
        <f t="shared" ref="KU3" si="243">IF(show_weekend,KT3+1,WORKDAY(KT3,1,Holidays))</f>
        <v>46493</v>
      </c>
      <c r="KV3" s="34">
        <f t="shared" ref="KV3" si="244">IF(show_weekend,KU3+1,WORKDAY(KU3,1,Holidays))</f>
        <v>46496</v>
      </c>
      <c r="KW3" s="34">
        <f t="shared" ref="KW3" si="245">IF(show_weekend,KV3+1,WORKDAY(KV3,1,Holidays))</f>
        <v>46497</v>
      </c>
      <c r="KX3" s="34">
        <f t="shared" ref="KX3" si="246">IF(show_weekend,KW3+1,WORKDAY(KW3,1,Holidays))</f>
        <v>46498</v>
      </c>
      <c r="KY3" s="34">
        <f t="shared" ref="KY3" si="247">IF(show_weekend,KX3+1,WORKDAY(KX3,1,Holidays))</f>
        <v>46499</v>
      </c>
      <c r="KZ3" s="34">
        <f t="shared" ref="KZ3" si="248">IF(show_weekend,KY3+1,WORKDAY(KY3,1,Holidays))</f>
        <v>46500</v>
      </c>
      <c r="LA3" s="34">
        <f t="shared" ref="LA3" si="249">IF(show_weekend,KZ3+1,WORKDAY(KZ3,1,Holidays))</f>
        <v>46503</v>
      </c>
      <c r="LB3" s="34">
        <f t="shared" ref="LB3" si="250">IF(show_weekend,LA3+1,WORKDAY(LA3,1,Holidays))</f>
        <v>46504</v>
      </c>
      <c r="LC3" s="34">
        <f t="shared" ref="LC3" si="251">IF(show_weekend,LB3+1,WORKDAY(LB3,1,Holidays))</f>
        <v>46505</v>
      </c>
      <c r="LD3" s="34">
        <f t="shared" ref="LD3" si="252">IF(show_weekend,LC3+1,WORKDAY(LC3,1,Holidays))</f>
        <v>46506</v>
      </c>
      <c r="LE3" s="34">
        <f t="shared" ref="LE3" si="253">IF(show_weekend,LD3+1,WORKDAY(LD3,1,Holidays))</f>
        <v>46507</v>
      </c>
      <c r="LF3" s="34">
        <f t="shared" ref="LF3" si="254">IF(show_weekend,LE3+1,WORKDAY(LE3,1,Holidays))</f>
        <v>46510</v>
      </c>
      <c r="LG3" s="34">
        <f t="shared" ref="LG3" si="255">IF(show_weekend,LF3+1,WORKDAY(LF3,1,Holidays))</f>
        <v>46511</v>
      </c>
      <c r="LH3" s="34">
        <f t="shared" ref="LH3" si="256">IF(show_weekend,LG3+1,WORKDAY(LG3,1,Holidays))</f>
        <v>46512</v>
      </c>
      <c r="LI3" s="34">
        <f t="shared" ref="LI3" si="257">IF(show_weekend,LH3+1,WORKDAY(LH3,1,Holidays))</f>
        <v>46513</v>
      </c>
      <c r="LJ3" s="34">
        <f t="shared" ref="LJ3" si="258">IF(show_weekend,LI3+1,WORKDAY(LI3,1,Holidays))</f>
        <v>46514</v>
      </c>
      <c r="LK3" s="34">
        <f t="shared" ref="LK3" si="259">IF(show_weekend,LJ3+1,WORKDAY(LJ3,1,Holidays))</f>
        <v>46517</v>
      </c>
      <c r="LL3" s="34">
        <f t="shared" ref="LL3" si="260">IF(show_weekend,LK3+1,WORKDAY(LK3,1,Holidays))</f>
        <v>46518</v>
      </c>
      <c r="LM3" s="34">
        <f t="shared" ref="LM3" si="261">IF(show_weekend,LL3+1,WORKDAY(LL3,1,Holidays))</f>
        <v>46519</v>
      </c>
      <c r="LN3" s="34">
        <f t="shared" ref="LN3" si="262">IF(show_weekend,LM3+1,WORKDAY(LM3,1,Holidays))</f>
        <v>46520</v>
      </c>
      <c r="LO3" s="34">
        <f t="shared" ref="LO3" si="263">IF(show_weekend,LN3+1,WORKDAY(LN3,1,Holidays))</f>
        <v>46521</v>
      </c>
      <c r="LP3" s="34">
        <f t="shared" ref="LP3" si="264">IF(show_weekend,LO3+1,WORKDAY(LO3,1,Holidays))</f>
        <v>46524</v>
      </c>
      <c r="LQ3" s="34">
        <f t="shared" ref="LQ3" si="265">IF(show_weekend,LP3+1,WORKDAY(LP3,1,Holidays))</f>
        <v>46525</v>
      </c>
      <c r="LR3" s="34">
        <f t="shared" ref="LR3" si="266">IF(show_weekend,LQ3+1,WORKDAY(LQ3,1,Holidays))</f>
        <v>46526</v>
      </c>
      <c r="LS3" s="34">
        <f t="shared" ref="LS3" si="267">IF(show_weekend,LR3+1,WORKDAY(LR3,1,Holidays))</f>
        <v>46527</v>
      </c>
      <c r="LT3" s="34">
        <f t="shared" ref="LT3" si="268">IF(show_weekend,LS3+1,WORKDAY(LS3,1,Holidays))</f>
        <v>46528</v>
      </c>
      <c r="LU3" s="34">
        <f t="shared" ref="LU3" si="269">IF(show_weekend,LT3+1,WORKDAY(LT3,1,Holidays))</f>
        <v>46531</v>
      </c>
      <c r="LV3" s="34">
        <f t="shared" ref="LV3" si="270">IF(show_weekend,LU3+1,WORKDAY(LU3,1,Holidays))</f>
        <v>46532</v>
      </c>
      <c r="LW3" s="34">
        <f t="shared" ref="LW3" si="271">IF(show_weekend,LV3+1,WORKDAY(LV3,1,Holidays))</f>
        <v>46533</v>
      </c>
      <c r="LX3" s="34">
        <f t="shared" ref="LX3" si="272">IF(show_weekend,LW3+1,WORKDAY(LW3,1,Holidays))</f>
        <v>46534</v>
      </c>
      <c r="LY3" s="34">
        <f t="shared" ref="LY3" si="273">IF(show_weekend,LX3+1,WORKDAY(LX3,1,Holidays))</f>
        <v>46535</v>
      </c>
      <c r="LZ3" s="34">
        <f t="shared" ref="LZ3" si="274">IF(show_weekend,LY3+1,WORKDAY(LY3,1,Holidays))</f>
        <v>46538</v>
      </c>
      <c r="MA3" s="34">
        <f t="shared" ref="MA3" si="275">IF(show_weekend,LZ3+1,WORKDAY(LZ3,1,Holidays))</f>
        <v>46539</v>
      </c>
      <c r="MB3" s="34">
        <f t="shared" ref="MB3" si="276">IF(show_weekend,MA3+1,WORKDAY(MA3,1,Holidays))</f>
        <v>46540</v>
      </c>
      <c r="MC3" s="34">
        <f t="shared" ref="MC3" si="277">IF(show_weekend,MB3+1,WORKDAY(MB3,1,Holidays))</f>
        <v>46541</v>
      </c>
      <c r="MD3" s="34">
        <f t="shared" ref="MD3" si="278">IF(show_weekend,MC3+1,WORKDAY(MC3,1,Holidays))</f>
        <v>46542</v>
      </c>
      <c r="ME3" s="34">
        <f t="shared" ref="ME3" si="279">IF(show_weekend,MD3+1,WORKDAY(MD3,1,Holidays))</f>
        <v>46545</v>
      </c>
      <c r="MF3" s="34">
        <f t="shared" ref="MF3" si="280">IF(show_weekend,ME3+1,WORKDAY(ME3,1,Holidays))</f>
        <v>46546</v>
      </c>
      <c r="MG3" s="34">
        <f t="shared" ref="MG3" si="281">IF(show_weekend,MF3+1,WORKDAY(MF3,1,Holidays))</f>
        <v>46547</v>
      </c>
      <c r="MH3" s="34">
        <f t="shared" ref="MH3" si="282">IF(show_weekend,MG3+1,WORKDAY(MG3,1,Holidays))</f>
        <v>46548</v>
      </c>
      <c r="MI3" s="34">
        <f t="shared" ref="MI3" si="283">IF(show_weekend,MH3+1,WORKDAY(MH3,1,Holidays))</f>
        <v>46549</v>
      </c>
      <c r="MJ3" s="34">
        <f t="shared" ref="MJ3" si="284">IF(show_weekend,MI3+1,WORKDAY(MI3,1,Holidays))</f>
        <v>46553</v>
      </c>
      <c r="MK3" s="34">
        <f t="shared" ref="MK3" si="285">IF(show_weekend,MJ3+1,WORKDAY(MJ3,1,Holidays))</f>
        <v>46554</v>
      </c>
      <c r="ML3" s="34">
        <f t="shared" ref="ML3" si="286">IF(show_weekend,MK3+1,WORKDAY(MK3,1,Holidays))</f>
        <v>46555</v>
      </c>
      <c r="MM3" s="34">
        <f t="shared" ref="MM3" si="287">IF(show_weekend,ML3+1,WORKDAY(ML3,1,Holidays))</f>
        <v>46556</v>
      </c>
      <c r="MN3" s="34">
        <f t="shared" ref="MN3" si="288">IF(show_weekend,MM3+1,WORKDAY(MM3,1,Holidays))</f>
        <v>46559</v>
      </c>
      <c r="MO3" s="34">
        <f t="shared" ref="MO3" si="289">IF(show_weekend,MN3+1,WORKDAY(MN3,1,Holidays))</f>
        <v>46560</v>
      </c>
      <c r="MP3" s="34">
        <f t="shared" ref="MP3" si="290">IF(show_weekend,MO3+1,WORKDAY(MO3,1,Holidays))</f>
        <v>46561</v>
      </c>
      <c r="MQ3" s="34">
        <f t="shared" ref="MQ3" si="291">IF(show_weekend,MP3+1,WORKDAY(MP3,1,Holidays))</f>
        <v>46562</v>
      </c>
      <c r="MR3" s="34">
        <f t="shared" ref="MR3" si="292">IF(show_weekend,MQ3+1,WORKDAY(MQ3,1,Holidays))</f>
        <v>46563</v>
      </c>
      <c r="MS3" s="34">
        <f t="shared" ref="MS3" si="293">IF(show_weekend,MR3+1,WORKDAY(MR3,1,Holidays))</f>
        <v>46566</v>
      </c>
      <c r="MT3" s="34">
        <f t="shared" ref="MT3" si="294">IF(show_weekend,MS3+1,WORKDAY(MS3,1,Holidays))</f>
        <v>46567</v>
      </c>
      <c r="MU3" s="34">
        <f t="shared" ref="MU3" si="295">IF(show_weekend,MT3+1,WORKDAY(MT3,1,Holidays))</f>
        <v>46568</v>
      </c>
      <c r="MV3" s="34">
        <f t="shared" ref="MV3" si="296">IF(show_weekend,MU3+1,WORKDAY(MU3,1,Holidays))</f>
        <v>46569</v>
      </c>
      <c r="MW3" s="34">
        <f t="shared" ref="MW3" si="297">IF(show_weekend,MV3+1,WORKDAY(MV3,1,Holidays))</f>
        <v>46570</v>
      </c>
      <c r="MX3" s="34">
        <f t="shared" ref="MX3" si="298">IF(show_weekend,MW3+1,WORKDAY(MW3,1,Holidays))</f>
        <v>46573</v>
      </c>
      <c r="MY3" s="34">
        <f t="shared" ref="MY3" si="299">IF(show_weekend,MX3+1,WORKDAY(MX3,1,Holidays))</f>
        <v>46574</v>
      </c>
      <c r="MZ3" s="34">
        <f t="shared" ref="MZ3" si="300">IF(show_weekend,MY3+1,WORKDAY(MY3,1,Holidays))</f>
        <v>46575</v>
      </c>
      <c r="NA3" s="34">
        <f t="shared" ref="NA3" si="301">IF(show_weekend,MZ3+1,WORKDAY(MZ3,1,Holidays))</f>
        <v>46576</v>
      </c>
      <c r="NB3" s="34">
        <f t="shared" ref="NB3" si="302">IF(show_weekend,NA3+1,WORKDAY(NA3,1,Holidays))</f>
        <v>46577</v>
      </c>
      <c r="NC3" s="34">
        <f t="shared" ref="NC3" si="303">IF(show_weekend,NB3+1,WORKDAY(NB3,1,Holidays))</f>
        <v>46580</v>
      </c>
      <c r="ND3" s="34">
        <f t="shared" ref="ND3" si="304">IF(show_weekend,NC3+1,WORKDAY(NC3,1,Holidays))</f>
        <v>46581</v>
      </c>
      <c r="NE3" s="34">
        <f t="shared" ref="NE3" si="305">IF(show_weekend,ND3+1,WORKDAY(ND3,1,Holidays))</f>
        <v>46582</v>
      </c>
      <c r="NF3" s="34">
        <f t="shared" ref="NF3" si="306">IF(show_weekend,NE3+1,WORKDAY(NE3,1,Holidays))</f>
        <v>46583</v>
      </c>
      <c r="NG3" s="34">
        <f t="shared" ref="NG3" si="307">IF(show_weekend,NF3+1,WORKDAY(NF3,1,Holidays))</f>
        <v>46584</v>
      </c>
      <c r="NH3" s="34">
        <f t="shared" ref="NH3" si="308">IF(show_weekend,NG3+1,WORKDAY(NG3,1,Holidays))</f>
        <v>46587</v>
      </c>
      <c r="NI3" s="34">
        <f t="shared" ref="NI3" si="309">IF(show_weekend,NH3+1,WORKDAY(NH3,1,Holidays))</f>
        <v>46588</v>
      </c>
      <c r="NJ3" s="34">
        <f t="shared" ref="NJ3" si="310">IF(show_weekend,NI3+1,WORKDAY(NI3,1,Holidays))</f>
        <v>46589</v>
      </c>
      <c r="NK3" s="34">
        <f t="shared" ref="NK3" si="311">IF(show_weekend,NJ3+1,WORKDAY(NJ3,1,Holidays))</f>
        <v>46590</v>
      </c>
      <c r="NL3" s="34">
        <f t="shared" ref="NL3" si="312">IF(show_weekend,NK3+1,WORKDAY(NK3,1,Holidays))</f>
        <v>46591</v>
      </c>
      <c r="NM3" s="34">
        <f t="shared" ref="NM3" si="313">IF(show_weekend,NL3+1,WORKDAY(NL3,1,Holidays))</f>
        <v>46594</v>
      </c>
      <c r="NN3" s="34">
        <f t="shared" ref="NN3" si="314">IF(show_weekend,NM3+1,WORKDAY(NM3,1,Holidays))</f>
        <v>46595</v>
      </c>
      <c r="NO3" s="34">
        <f t="shared" ref="NO3" si="315">IF(show_weekend,NN3+1,WORKDAY(NN3,1,Holidays))</f>
        <v>46596</v>
      </c>
      <c r="NP3" s="34">
        <f t="shared" ref="NP3" si="316">IF(show_weekend,NO3+1,WORKDAY(NO3,1,Holidays))</f>
        <v>46597</v>
      </c>
      <c r="NQ3" s="34">
        <f t="shared" ref="NQ3" si="317">IF(show_weekend,NP3+1,WORKDAY(NP3,1,Holidays))</f>
        <v>46598</v>
      </c>
      <c r="NR3" s="34">
        <f t="shared" ref="NR3" si="318">IF(show_weekend,NQ3+1,WORKDAY(NQ3,1,Holidays))</f>
        <v>46601</v>
      </c>
      <c r="NS3" s="34">
        <f t="shared" ref="NS3" si="319">IF(show_weekend,NR3+1,WORKDAY(NR3,1,Holidays))</f>
        <v>46602</v>
      </c>
      <c r="NT3" s="34">
        <f t="shared" ref="NT3" si="320">IF(show_weekend,NS3+1,WORKDAY(NS3,1,Holidays))</f>
        <v>46603</v>
      </c>
      <c r="NU3" s="34">
        <f t="shared" ref="NU3" si="321">IF(show_weekend,NT3+1,WORKDAY(NT3,1,Holidays))</f>
        <v>46604</v>
      </c>
      <c r="NV3" s="34">
        <f t="shared" ref="NV3" si="322">IF(show_weekend,NU3+1,WORKDAY(NU3,1,Holidays))</f>
        <v>46605</v>
      </c>
      <c r="NW3" s="34">
        <f t="shared" ref="NW3" si="323">IF(show_weekend,NV3+1,WORKDAY(NV3,1,Holidays))</f>
        <v>46608</v>
      </c>
      <c r="NX3" s="34">
        <f t="shared" ref="NX3" si="324">IF(show_weekend,NW3+1,WORKDAY(NW3,1,Holidays))</f>
        <v>46609</v>
      </c>
      <c r="NY3" s="34">
        <f t="shared" ref="NY3" si="325">IF(show_weekend,NX3+1,WORKDAY(NX3,1,Holidays))</f>
        <v>46610</v>
      </c>
      <c r="NZ3" s="34">
        <f t="shared" ref="NZ3" si="326">IF(show_weekend,NY3+1,WORKDAY(NY3,1,Holidays))</f>
        <v>46611</v>
      </c>
      <c r="OA3" s="34">
        <f t="shared" ref="OA3" si="327">IF(show_weekend,NZ3+1,WORKDAY(NZ3,1,Holidays))</f>
        <v>46612</v>
      </c>
      <c r="OB3" s="34">
        <f t="shared" ref="OB3" si="328">IF(show_weekend,OA3+1,WORKDAY(OA3,1,Holidays))</f>
        <v>46615</v>
      </c>
      <c r="OC3" s="34">
        <f t="shared" ref="OC3" si="329">IF(show_weekend,OB3+1,WORKDAY(OB3,1,Holidays))</f>
        <v>46616</v>
      </c>
      <c r="OD3" s="34">
        <f t="shared" ref="OD3" si="330">IF(show_weekend,OC3+1,WORKDAY(OC3,1,Holidays))</f>
        <v>46617</v>
      </c>
      <c r="OE3" s="34">
        <f t="shared" ref="OE3" si="331">IF(show_weekend,OD3+1,WORKDAY(OD3,1,Holidays))</f>
        <v>46618</v>
      </c>
      <c r="OF3" s="34">
        <f t="shared" ref="OF3" si="332">IF(show_weekend,OE3+1,WORKDAY(OE3,1,Holidays))</f>
        <v>46619</v>
      </c>
      <c r="OG3" s="34">
        <f t="shared" ref="OG3" si="333">IF(show_weekend,OF3+1,WORKDAY(OF3,1,Holidays))</f>
        <v>46622</v>
      </c>
      <c r="OH3" s="34">
        <f t="shared" ref="OH3" si="334">IF(show_weekend,OG3+1,WORKDAY(OG3,1,Holidays))</f>
        <v>46623</v>
      </c>
      <c r="OI3" s="34">
        <f t="shared" ref="OI3" si="335">IF(show_weekend,OH3+1,WORKDAY(OH3,1,Holidays))</f>
        <v>46624</v>
      </c>
      <c r="OJ3" s="34">
        <f t="shared" ref="OJ3" si="336">IF(show_weekend,OI3+1,WORKDAY(OI3,1,Holidays))</f>
        <v>46625</v>
      </c>
      <c r="OK3" s="34">
        <f t="shared" ref="OK3" si="337">IF(show_weekend,OJ3+1,WORKDAY(OJ3,1,Holidays))</f>
        <v>46626</v>
      </c>
      <c r="OL3" s="34">
        <f t="shared" ref="OL3" si="338">IF(show_weekend,OK3+1,WORKDAY(OK3,1,Holidays))</f>
        <v>46629</v>
      </c>
      <c r="OM3" s="34">
        <f t="shared" ref="OM3" si="339">IF(show_weekend,OL3+1,WORKDAY(OL3,1,Holidays))</f>
        <v>46630</v>
      </c>
      <c r="ON3" s="34">
        <f t="shared" ref="ON3" si="340">IF(show_weekend,OM3+1,WORKDAY(OM3,1,Holidays))</f>
        <v>46631</v>
      </c>
      <c r="OO3" s="34">
        <f t="shared" ref="OO3" si="341">IF(show_weekend,ON3+1,WORKDAY(ON3,1,Holidays))</f>
        <v>46632</v>
      </c>
      <c r="OP3" s="34">
        <f t="shared" ref="OP3" si="342">IF(show_weekend,OO3+1,WORKDAY(OO3,1,Holidays))</f>
        <v>46633</v>
      </c>
      <c r="OQ3" s="34">
        <f t="shared" ref="OQ3" si="343">IF(show_weekend,OP3+1,WORKDAY(OP3,1,Holidays))</f>
        <v>46636</v>
      </c>
      <c r="OR3" s="34">
        <f t="shared" ref="OR3" si="344">IF(show_weekend,OQ3+1,WORKDAY(OQ3,1,Holidays))</f>
        <v>46637</v>
      </c>
      <c r="OS3" s="34">
        <f t="shared" ref="OS3" si="345">IF(show_weekend,OR3+1,WORKDAY(OR3,1,Holidays))</f>
        <v>46638</v>
      </c>
      <c r="OT3" s="34">
        <f t="shared" ref="OT3" si="346">IF(show_weekend,OS3+1,WORKDAY(OS3,1,Holidays))</f>
        <v>46639</v>
      </c>
      <c r="OU3" s="34">
        <f t="shared" ref="OU3" si="347">IF(show_weekend,OT3+1,WORKDAY(OT3,1,Holidays))</f>
        <v>46640</v>
      </c>
      <c r="OV3" s="34">
        <f t="shared" ref="OV3" si="348">IF(show_weekend,OU3+1,WORKDAY(OU3,1,Holidays))</f>
        <v>46643</v>
      </c>
      <c r="OW3" s="34">
        <f t="shared" ref="OW3" si="349">IF(show_weekend,OV3+1,WORKDAY(OV3,1,Holidays))</f>
        <v>46644</v>
      </c>
      <c r="OX3" s="34">
        <f t="shared" ref="OX3" si="350">IF(show_weekend,OW3+1,WORKDAY(OW3,1,Holidays))</f>
        <v>46645</v>
      </c>
      <c r="OY3" s="34">
        <f t="shared" ref="OY3" si="351">IF(show_weekend,OX3+1,WORKDAY(OX3,1,Holidays))</f>
        <v>46646</v>
      </c>
      <c r="OZ3" s="34">
        <f t="shared" ref="OZ3" si="352">IF(show_weekend,OY3+1,WORKDAY(OY3,1,Holidays))</f>
        <v>46647</v>
      </c>
      <c r="PA3" s="34">
        <f t="shared" ref="PA3" si="353">IF(show_weekend,OZ3+1,WORKDAY(OZ3,1,Holidays))</f>
        <v>46650</v>
      </c>
      <c r="PB3" s="34">
        <f t="shared" ref="PB3" si="354">IF(show_weekend,PA3+1,WORKDAY(PA3,1,Holidays))</f>
        <v>46651</v>
      </c>
      <c r="PC3" s="34">
        <f t="shared" ref="PC3" si="355">IF(show_weekend,PB3+1,WORKDAY(PB3,1,Holidays))</f>
        <v>46652</v>
      </c>
      <c r="PD3" s="34">
        <f t="shared" ref="PD3" si="356">IF(show_weekend,PC3+1,WORKDAY(PC3,1,Holidays))</f>
        <v>46653</v>
      </c>
      <c r="PE3" s="34">
        <f t="shared" ref="PE3" si="357">IF(show_weekend,PD3+1,WORKDAY(PD3,1,Holidays))</f>
        <v>46654</v>
      </c>
      <c r="PF3" s="34">
        <f t="shared" ref="PF3" si="358">IF(show_weekend,PE3+1,WORKDAY(PE3,1,Holidays))</f>
        <v>46657</v>
      </c>
      <c r="PG3" s="34">
        <f t="shared" ref="PG3" si="359">IF(show_weekend,PF3+1,WORKDAY(PF3,1,Holidays))</f>
        <v>46658</v>
      </c>
      <c r="PH3" s="34">
        <f t="shared" ref="PH3" si="360">IF(show_weekend,PG3+1,WORKDAY(PG3,1,Holidays))</f>
        <v>46659</v>
      </c>
      <c r="PI3" s="34">
        <f t="shared" ref="PI3" si="361">IF(show_weekend,PH3+1,WORKDAY(PH3,1,Holidays))</f>
        <v>46660</v>
      </c>
      <c r="PJ3" s="34">
        <f t="shared" ref="PJ3" si="362">IF(show_weekend,PI3+1,WORKDAY(PI3,1,Holidays))</f>
        <v>46661</v>
      </c>
      <c r="PK3" s="34">
        <f t="shared" ref="PK3" si="363">IF(show_weekend,PJ3+1,WORKDAY(PJ3,1,Holidays))</f>
        <v>46665</v>
      </c>
      <c r="PL3" s="34">
        <f t="shared" ref="PL3" si="364">IF(show_weekend,PK3+1,WORKDAY(PK3,1,Holidays))</f>
        <v>46666</v>
      </c>
      <c r="PM3" s="34">
        <f t="shared" ref="PM3" si="365">IF(show_weekend,PL3+1,WORKDAY(PL3,1,Holidays))</f>
        <v>46667</v>
      </c>
      <c r="PN3" s="34">
        <f t="shared" ref="PN3" si="366">IF(show_weekend,PM3+1,WORKDAY(PM3,1,Holidays))</f>
        <v>46668</v>
      </c>
      <c r="PO3" s="44">
        <f t="shared" ref="PO3" si="367">IF(show_weekend,PN3+1,WORKDAY(PN3,1,Holidays))</f>
        <v>46671</v>
      </c>
      <c r="PP3" s="34">
        <f t="shared" ref="PP3" si="368">IF(show_weekend,PO3+1,WORKDAY(PO3,1,Holidays))</f>
        <v>46672</v>
      </c>
      <c r="PQ3" s="34">
        <f t="shared" ref="PQ3" si="369">IF(show_weekend,PP3+1,WORKDAY(PP3,1,Holidays))</f>
        <v>46673</v>
      </c>
      <c r="PR3" s="34">
        <f t="shared" ref="PR3" si="370">IF(show_weekend,PQ3+1,WORKDAY(PQ3,1,Holidays))</f>
        <v>46674</v>
      </c>
      <c r="PS3" s="34">
        <f t="shared" ref="PS3" si="371">IF(show_weekend,PR3+1,WORKDAY(PR3,1,Holidays))</f>
        <v>46675</v>
      </c>
      <c r="PT3" s="34">
        <f t="shared" ref="PT3" si="372">IF(show_weekend,PS3+1,WORKDAY(PS3,1,Holidays))</f>
        <v>46678</v>
      </c>
      <c r="PU3" s="34">
        <f t="shared" ref="PU3" si="373">IF(show_weekend,PT3+1,WORKDAY(PT3,1,Holidays))</f>
        <v>46679</v>
      </c>
      <c r="PV3" s="34">
        <f t="shared" ref="PV3" si="374">IF(show_weekend,PU3+1,WORKDAY(PU3,1,Holidays))</f>
        <v>46680</v>
      </c>
      <c r="PW3" s="34">
        <f t="shared" ref="PW3" si="375">IF(show_weekend,PV3+1,WORKDAY(PV3,1,Holidays))</f>
        <v>46681</v>
      </c>
      <c r="PX3" s="34">
        <f t="shared" ref="PX3" si="376">IF(show_weekend,PW3+1,WORKDAY(PW3,1,Holidays))</f>
        <v>46682</v>
      </c>
      <c r="PY3" s="34">
        <f t="shared" ref="PY3" si="377">IF(show_weekend,PX3+1,WORKDAY(PX3,1,Holidays))</f>
        <v>46685</v>
      </c>
      <c r="PZ3" s="34">
        <f t="shared" ref="PZ3" si="378">IF(show_weekend,PY3+1,WORKDAY(PY3,1,Holidays))</f>
        <v>46686</v>
      </c>
      <c r="QA3" s="34">
        <f t="shared" ref="QA3" si="379">IF(show_weekend,PZ3+1,WORKDAY(PZ3,1,Holidays))</f>
        <v>46687</v>
      </c>
      <c r="QB3" s="34">
        <f t="shared" ref="QB3" si="380">IF(show_weekend,QA3+1,WORKDAY(QA3,1,Holidays))</f>
        <v>46688</v>
      </c>
      <c r="QC3" s="34">
        <f t="shared" ref="QC3" si="381">IF(show_weekend,QB3+1,WORKDAY(QB3,1,Holidays))</f>
        <v>46689</v>
      </c>
      <c r="QD3" s="34">
        <f t="shared" ref="QD3" si="382">IF(show_weekend,QC3+1,WORKDAY(QC3,1,Holidays))</f>
        <v>46692</v>
      </c>
      <c r="QE3" s="34">
        <f t="shared" ref="QE3" si="383">IF(show_weekend,QD3+1,WORKDAY(QD3,1,Holidays))</f>
        <v>46693</v>
      </c>
      <c r="QF3" s="34">
        <f t="shared" ref="QF3" si="384">IF(show_weekend,QE3+1,WORKDAY(QE3,1,Holidays))</f>
        <v>46694</v>
      </c>
      <c r="QG3" s="34">
        <f t="shared" ref="QG3" si="385">IF(show_weekend,QF3+1,WORKDAY(QF3,1,Holidays))</f>
        <v>46695</v>
      </c>
      <c r="QH3" s="34">
        <f t="shared" ref="QH3" si="386">IF(show_weekend,QG3+1,WORKDAY(QG3,1,Holidays))</f>
        <v>46696</v>
      </c>
      <c r="QI3" s="34">
        <f t="shared" ref="QI3" si="387">IF(show_weekend,QH3+1,WORKDAY(QH3,1,Holidays))</f>
        <v>46699</v>
      </c>
      <c r="QJ3" s="34">
        <f t="shared" ref="QJ3" si="388">IF(show_weekend,QI3+1,WORKDAY(QI3,1,Holidays))</f>
        <v>46700</v>
      </c>
      <c r="QK3" s="34">
        <f t="shared" ref="QK3" si="389">IF(show_weekend,QJ3+1,WORKDAY(QJ3,1,Holidays))</f>
        <v>46701</v>
      </c>
      <c r="QL3" s="34">
        <f t="shared" ref="QL3" si="390">IF(show_weekend,QK3+1,WORKDAY(QK3,1,Holidays))</f>
        <v>46702</v>
      </c>
      <c r="QM3" s="34">
        <f t="shared" ref="QM3" si="391">IF(show_weekend,QL3+1,WORKDAY(QL3,1,Holidays))</f>
        <v>46703</v>
      </c>
    </row>
    <row r="4" spans="1:455" ht="16.5" customHeight="1" x14ac:dyDescent="0.35">
      <c r="A4" s="3" t="s">
        <v>420</v>
      </c>
      <c r="B4" s="49">
        <f>F184</f>
        <v>46668</v>
      </c>
      <c r="E4"/>
      <c r="H4" s="72"/>
      <c r="I4" s="35"/>
      <c r="J4" s="66"/>
      <c r="K4" s="35"/>
      <c r="L4" s="81"/>
      <c r="M4" s="50" t="str">
        <f t="shared" ref="M4:BX4" si="392">UPPER(LEFT(TEXT(M3,"ddd"),1))</f>
        <v>M</v>
      </c>
      <c r="N4" s="32" t="str">
        <f t="shared" si="392"/>
        <v>T</v>
      </c>
      <c r="O4" s="32" t="str">
        <f t="shared" si="392"/>
        <v>O</v>
      </c>
      <c r="P4" s="32" t="str">
        <f t="shared" si="392"/>
        <v>T</v>
      </c>
      <c r="Q4" s="32" t="str">
        <f t="shared" si="392"/>
        <v>F</v>
      </c>
      <c r="R4" s="32" t="str">
        <f t="shared" si="392"/>
        <v>M</v>
      </c>
      <c r="S4" s="32" t="str">
        <f t="shared" si="392"/>
        <v>T</v>
      </c>
      <c r="T4" s="32" t="str">
        <f t="shared" si="392"/>
        <v>O</v>
      </c>
      <c r="U4" s="32" t="str">
        <f t="shared" si="392"/>
        <v>T</v>
      </c>
      <c r="V4" s="32" t="str">
        <f t="shared" si="392"/>
        <v>F</v>
      </c>
      <c r="W4" s="32" t="str">
        <f t="shared" si="392"/>
        <v>M</v>
      </c>
      <c r="X4" s="32" t="str">
        <f t="shared" si="392"/>
        <v>T</v>
      </c>
      <c r="Y4" s="32" t="str">
        <f t="shared" si="392"/>
        <v>O</v>
      </c>
      <c r="Z4" s="32" t="str">
        <f t="shared" si="392"/>
        <v>T</v>
      </c>
      <c r="AA4" s="32" t="str">
        <f t="shared" si="392"/>
        <v>F</v>
      </c>
      <c r="AB4" s="32" t="str">
        <f t="shared" si="392"/>
        <v>M</v>
      </c>
      <c r="AC4" s="32" t="str">
        <f t="shared" si="392"/>
        <v>T</v>
      </c>
      <c r="AD4" s="32" t="str">
        <f t="shared" si="392"/>
        <v>O</v>
      </c>
      <c r="AE4" s="32" t="str">
        <f t="shared" si="392"/>
        <v>T</v>
      </c>
      <c r="AF4" s="32" t="str">
        <f t="shared" si="392"/>
        <v>F</v>
      </c>
      <c r="AG4" s="32" t="str">
        <f t="shared" si="392"/>
        <v>M</v>
      </c>
      <c r="AH4" s="32" t="str">
        <f t="shared" si="392"/>
        <v>T</v>
      </c>
      <c r="AI4" s="32" t="str">
        <f t="shared" si="392"/>
        <v>O</v>
      </c>
      <c r="AJ4" s="32" t="str">
        <f t="shared" si="392"/>
        <v>T</v>
      </c>
      <c r="AK4" s="32" t="str">
        <f t="shared" si="392"/>
        <v>F</v>
      </c>
      <c r="AL4" s="32" t="str">
        <f t="shared" si="392"/>
        <v>M</v>
      </c>
      <c r="AM4" s="32" t="str">
        <f t="shared" si="392"/>
        <v>T</v>
      </c>
      <c r="AN4" s="32" t="str">
        <f t="shared" si="392"/>
        <v>O</v>
      </c>
      <c r="AO4" s="32" t="str">
        <f t="shared" si="392"/>
        <v>T</v>
      </c>
      <c r="AP4" s="32" t="str">
        <f t="shared" si="392"/>
        <v>F</v>
      </c>
      <c r="AQ4" s="32" t="str">
        <f t="shared" si="392"/>
        <v>M</v>
      </c>
      <c r="AR4" s="32" t="str">
        <f t="shared" si="392"/>
        <v>T</v>
      </c>
      <c r="AS4" s="32" t="str">
        <f t="shared" si="392"/>
        <v>O</v>
      </c>
      <c r="AT4" s="32" t="str">
        <f t="shared" si="392"/>
        <v>T</v>
      </c>
      <c r="AU4" s="32" t="str">
        <f t="shared" si="392"/>
        <v>T</v>
      </c>
      <c r="AV4" s="32" t="str">
        <f t="shared" si="392"/>
        <v>O</v>
      </c>
      <c r="AW4" s="32" t="str">
        <f t="shared" si="392"/>
        <v>T</v>
      </c>
      <c r="AX4" s="32" t="str">
        <f t="shared" si="392"/>
        <v>F</v>
      </c>
      <c r="AY4" s="32" t="str">
        <f t="shared" si="392"/>
        <v>M</v>
      </c>
      <c r="AZ4" s="32" t="str">
        <f t="shared" si="392"/>
        <v>T</v>
      </c>
      <c r="BA4" s="32" t="str">
        <f t="shared" si="392"/>
        <v>O</v>
      </c>
      <c r="BB4" s="32" t="str">
        <f t="shared" si="392"/>
        <v>T</v>
      </c>
      <c r="BC4" s="32" t="str">
        <f t="shared" si="392"/>
        <v>F</v>
      </c>
      <c r="BD4" s="32" t="str">
        <f t="shared" si="392"/>
        <v>M</v>
      </c>
      <c r="BE4" s="32" t="str">
        <f t="shared" si="392"/>
        <v>T</v>
      </c>
      <c r="BF4" s="32" t="str">
        <f t="shared" si="392"/>
        <v>O</v>
      </c>
      <c r="BG4" s="32" t="str">
        <f t="shared" si="392"/>
        <v>T</v>
      </c>
      <c r="BH4" s="32" t="str">
        <f t="shared" si="392"/>
        <v>F</v>
      </c>
      <c r="BI4" s="32" t="str">
        <f t="shared" si="392"/>
        <v>M</v>
      </c>
      <c r="BJ4" s="32" t="str">
        <f t="shared" si="392"/>
        <v>T</v>
      </c>
      <c r="BK4" s="32" t="str">
        <f t="shared" si="392"/>
        <v>O</v>
      </c>
      <c r="BL4" s="32" t="str">
        <f t="shared" si="392"/>
        <v>T</v>
      </c>
      <c r="BM4" s="32" t="str">
        <f t="shared" si="392"/>
        <v>F</v>
      </c>
      <c r="BN4" s="32" t="str">
        <f t="shared" si="392"/>
        <v>M</v>
      </c>
      <c r="BO4" s="32" t="str">
        <f t="shared" si="392"/>
        <v>T</v>
      </c>
      <c r="BP4" s="32" t="str">
        <f t="shared" si="392"/>
        <v>O</v>
      </c>
      <c r="BQ4" s="32" t="str">
        <f t="shared" si="392"/>
        <v>T</v>
      </c>
      <c r="BR4" s="32" t="str">
        <f t="shared" si="392"/>
        <v>F</v>
      </c>
      <c r="BS4" s="32" t="str">
        <f t="shared" si="392"/>
        <v>M</v>
      </c>
      <c r="BT4" s="32" t="str">
        <f t="shared" si="392"/>
        <v>T</v>
      </c>
      <c r="BU4" s="32" t="str">
        <f t="shared" si="392"/>
        <v>O</v>
      </c>
      <c r="BV4" s="32" t="str">
        <f t="shared" si="392"/>
        <v>T</v>
      </c>
      <c r="BW4" s="32" t="str">
        <f t="shared" si="392"/>
        <v>F</v>
      </c>
      <c r="BX4" s="32" t="str">
        <f t="shared" si="392"/>
        <v>M</v>
      </c>
      <c r="BY4" s="32" t="str">
        <f t="shared" ref="BY4:EJ4" si="393">UPPER(LEFT(TEXT(BY3,"ddd"),1))</f>
        <v>T</v>
      </c>
      <c r="BZ4" s="32" t="str">
        <f t="shared" si="393"/>
        <v>O</v>
      </c>
      <c r="CA4" s="32" t="str">
        <f t="shared" si="393"/>
        <v>T</v>
      </c>
      <c r="CB4" s="32" t="str">
        <f t="shared" si="393"/>
        <v>F</v>
      </c>
      <c r="CC4" s="32" t="str">
        <f t="shared" si="393"/>
        <v>M</v>
      </c>
      <c r="CD4" s="32" t="str">
        <f t="shared" si="393"/>
        <v>T</v>
      </c>
      <c r="CE4" s="32" t="str">
        <f t="shared" si="393"/>
        <v>O</v>
      </c>
      <c r="CF4" s="32" t="str">
        <f t="shared" si="393"/>
        <v>T</v>
      </c>
      <c r="CG4" s="32" t="str">
        <f t="shared" si="393"/>
        <v>F</v>
      </c>
      <c r="CH4" s="32" t="str">
        <f t="shared" si="393"/>
        <v>M</v>
      </c>
      <c r="CI4" s="32" t="str">
        <f t="shared" si="393"/>
        <v>T</v>
      </c>
      <c r="CJ4" s="32" t="str">
        <f t="shared" si="393"/>
        <v>O</v>
      </c>
      <c r="CK4" s="32" t="str">
        <f t="shared" si="393"/>
        <v>T</v>
      </c>
      <c r="CL4" s="32" t="str">
        <f t="shared" si="393"/>
        <v>F</v>
      </c>
      <c r="CM4" s="32" t="str">
        <f t="shared" si="393"/>
        <v>T</v>
      </c>
      <c r="CN4" s="32" t="str">
        <f t="shared" si="393"/>
        <v>O</v>
      </c>
      <c r="CO4" s="32" t="str">
        <f t="shared" si="393"/>
        <v>T</v>
      </c>
      <c r="CP4" s="32" t="str">
        <f t="shared" si="393"/>
        <v>F</v>
      </c>
      <c r="CQ4" s="32" t="str">
        <f t="shared" si="393"/>
        <v>M</v>
      </c>
      <c r="CR4" s="32" t="str">
        <f t="shared" si="393"/>
        <v>T</v>
      </c>
      <c r="CS4" s="32" t="str">
        <f t="shared" si="393"/>
        <v>O</v>
      </c>
      <c r="CT4" s="32" t="str">
        <f t="shared" si="393"/>
        <v>T</v>
      </c>
      <c r="CU4" s="32" t="str">
        <f t="shared" si="393"/>
        <v>F</v>
      </c>
      <c r="CV4" s="32" t="str">
        <f t="shared" si="393"/>
        <v>M</v>
      </c>
      <c r="CW4" s="32" t="str">
        <f t="shared" si="393"/>
        <v>T</v>
      </c>
      <c r="CX4" s="32" t="str">
        <f t="shared" si="393"/>
        <v>O</v>
      </c>
      <c r="CY4" s="32" t="str">
        <f t="shared" si="393"/>
        <v>T</v>
      </c>
      <c r="CZ4" s="32" t="str">
        <f t="shared" si="393"/>
        <v>F</v>
      </c>
      <c r="DA4" s="32" t="str">
        <f t="shared" si="393"/>
        <v>M</v>
      </c>
      <c r="DB4" s="32" t="str">
        <f t="shared" si="393"/>
        <v>T</v>
      </c>
      <c r="DC4" s="32" t="str">
        <f t="shared" si="393"/>
        <v>O</v>
      </c>
      <c r="DD4" s="32" t="str">
        <f t="shared" si="393"/>
        <v>T</v>
      </c>
      <c r="DE4" s="32" t="str">
        <f t="shared" si="393"/>
        <v>F</v>
      </c>
      <c r="DF4" s="32" t="str">
        <f t="shared" si="393"/>
        <v>M</v>
      </c>
      <c r="DG4" s="32" t="str">
        <f t="shared" si="393"/>
        <v>T</v>
      </c>
      <c r="DH4" s="32" t="str">
        <f t="shared" si="393"/>
        <v>O</v>
      </c>
      <c r="DI4" s="32" t="str">
        <f t="shared" si="393"/>
        <v>T</v>
      </c>
      <c r="DJ4" s="32" t="str">
        <f t="shared" si="393"/>
        <v>F</v>
      </c>
      <c r="DK4" s="32" t="str">
        <f t="shared" si="393"/>
        <v>M</v>
      </c>
      <c r="DL4" s="32" t="str">
        <f t="shared" si="393"/>
        <v>T</v>
      </c>
      <c r="DM4" s="32" t="str">
        <f t="shared" si="393"/>
        <v>O</v>
      </c>
      <c r="DN4" s="32" t="str">
        <f t="shared" si="393"/>
        <v>T</v>
      </c>
      <c r="DO4" s="32" t="str">
        <f t="shared" si="393"/>
        <v>F</v>
      </c>
      <c r="DP4" s="32" t="str">
        <f t="shared" si="393"/>
        <v>M</v>
      </c>
      <c r="DQ4" s="32" t="str">
        <f t="shared" si="393"/>
        <v>T</v>
      </c>
      <c r="DR4" s="32" t="str">
        <f t="shared" si="393"/>
        <v>O</v>
      </c>
      <c r="DS4" s="32" t="str">
        <f t="shared" si="393"/>
        <v>T</v>
      </c>
      <c r="DT4" s="32" t="str">
        <f t="shared" si="393"/>
        <v>F</v>
      </c>
      <c r="DU4" s="32" t="str">
        <f t="shared" si="393"/>
        <v>M</v>
      </c>
      <c r="DV4" s="32" t="str">
        <f t="shared" si="393"/>
        <v>T</v>
      </c>
      <c r="DW4" s="32" t="str">
        <f t="shared" si="393"/>
        <v>O</v>
      </c>
      <c r="DX4" s="32" t="str">
        <f t="shared" si="393"/>
        <v>T</v>
      </c>
      <c r="DY4" s="32" t="str">
        <f t="shared" si="393"/>
        <v>F</v>
      </c>
      <c r="DZ4" s="32" t="str">
        <f t="shared" si="393"/>
        <v>M</v>
      </c>
      <c r="EA4" s="32" t="str">
        <f t="shared" si="393"/>
        <v>T</v>
      </c>
      <c r="EB4" s="32" t="str">
        <f t="shared" si="393"/>
        <v>O</v>
      </c>
      <c r="EC4" s="32" t="str">
        <f t="shared" si="393"/>
        <v>T</v>
      </c>
      <c r="ED4" s="32" t="str">
        <f t="shared" si="393"/>
        <v>F</v>
      </c>
      <c r="EE4" s="32" t="str">
        <f t="shared" si="393"/>
        <v>M</v>
      </c>
      <c r="EF4" s="32" t="str">
        <f t="shared" si="393"/>
        <v>T</v>
      </c>
      <c r="EG4" s="32" t="str">
        <f t="shared" si="393"/>
        <v>O</v>
      </c>
      <c r="EH4" s="32" t="str">
        <f t="shared" si="393"/>
        <v>T</v>
      </c>
      <c r="EI4" s="32" t="str">
        <f t="shared" si="393"/>
        <v>F</v>
      </c>
      <c r="EJ4" s="32" t="str">
        <f t="shared" si="393"/>
        <v>M</v>
      </c>
      <c r="EK4" s="32" t="str">
        <f t="shared" ref="EK4:GV4" si="394">UPPER(LEFT(TEXT(EK3,"ddd"),1))</f>
        <v>T</v>
      </c>
      <c r="EL4" s="32" t="str">
        <f t="shared" si="394"/>
        <v>O</v>
      </c>
      <c r="EM4" s="32" t="str">
        <f t="shared" si="394"/>
        <v>T</v>
      </c>
      <c r="EN4" s="32" t="str">
        <f t="shared" si="394"/>
        <v>F</v>
      </c>
      <c r="EO4" s="32" t="str">
        <f t="shared" si="394"/>
        <v>M</v>
      </c>
      <c r="EP4" s="32" t="str">
        <f t="shared" si="394"/>
        <v>T</v>
      </c>
      <c r="EQ4" s="32" t="str">
        <f t="shared" si="394"/>
        <v>O</v>
      </c>
      <c r="ER4" s="32" t="str">
        <f t="shared" si="394"/>
        <v>T</v>
      </c>
      <c r="ES4" s="32" t="str">
        <f t="shared" si="394"/>
        <v>F</v>
      </c>
      <c r="ET4" s="32" t="str">
        <f t="shared" si="394"/>
        <v>M</v>
      </c>
      <c r="EU4" s="32" t="str">
        <f t="shared" si="394"/>
        <v>T</v>
      </c>
      <c r="EV4" s="32" t="str">
        <f t="shared" si="394"/>
        <v>O</v>
      </c>
      <c r="EW4" s="32" t="str">
        <f t="shared" si="394"/>
        <v>T</v>
      </c>
      <c r="EX4" s="32" t="str">
        <f t="shared" si="394"/>
        <v>F</v>
      </c>
      <c r="EY4" s="32" t="str">
        <f t="shared" si="394"/>
        <v>M</v>
      </c>
      <c r="EZ4" s="32" t="str">
        <f t="shared" si="394"/>
        <v>T</v>
      </c>
      <c r="FA4" s="32" t="str">
        <f t="shared" si="394"/>
        <v>O</v>
      </c>
      <c r="FB4" s="32" t="str">
        <f t="shared" si="394"/>
        <v>T</v>
      </c>
      <c r="FC4" s="32" t="str">
        <f t="shared" si="394"/>
        <v>F</v>
      </c>
      <c r="FD4" s="32" t="str">
        <f t="shared" si="394"/>
        <v>M</v>
      </c>
      <c r="FE4" s="32" t="str">
        <f t="shared" si="394"/>
        <v>T</v>
      </c>
      <c r="FF4" s="32" t="str">
        <f t="shared" si="394"/>
        <v>O</v>
      </c>
      <c r="FG4" s="32" t="str">
        <f t="shared" si="394"/>
        <v>T</v>
      </c>
      <c r="FH4" s="32" t="str">
        <f t="shared" si="394"/>
        <v>F</v>
      </c>
      <c r="FI4" s="32" t="str">
        <f t="shared" si="394"/>
        <v>M</v>
      </c>
      <c r="FJ4" s="32" t="str">
        <f t="shared" si="394"/>
        <v>T</v>
      </c>
      <c r="FK4" s="32" t="str">
        <f t="shared" si="394"/>
        <v>O</v>
      </c>
      <c r="FL4" s="32" t="str">
        <f t="shared" si="394"/>
        <v>T</v>
      </c>
      <c r="FM4" s="32" t="str">
        <f t="shared" si="394"/>
        <v>F</v>
      </c>
      <c r="FN4" s="32" t="str">
        <f t="shared" si="394"/>
        <v>M</v>
      </c>
      <c r="FO4" s="32" t="str">
        <f t="shared" si="394"/>
        <v>T</v>
      </c>
      <c r="FP4" s="32" t="str">
        <f t="shared" si="394"/>
        <v>O</v>
      </c>
      <c r="FQ4" s="32" t="str">
        <f t="shared" si="394"/>
        <v>T</v>
      </c>
      <c r="FR4" s="32" t="str">
        <f t="shared" si="394"/>
        <v>F</v>
      </c>
      <c r="FS4" s="32" t="str">
        <f t="shared" si="394"/>
        <v>T</v>
      </c>
      <c r="FT4" s="32" t="str">
        <f t="shared" si="394"/>
        <v>O</v>
      </c>
      <c r="FU4" s="32" t="str">
        <f t="shared" si="394"/>
        <v>T</v>
      </c>
      <c r="FV4" s="32" t="str">
        <f t="shared" si="394"/>
        <v>F</v>
      </c>
      <c r="FW4" s="32" t="str">
        <f t="shared" si="394"/>
        <v>M</v>
      </c>
      <c r="FX4" s="32" t="str">
        <f t="shared" si="394"/>
        <v>T</v>
      </c>
      <c r="FY4" s="32" t="str">
        <f t="shared" si="394"/>
        <v>O</v>
      </c>
      <c r="FZ4" s="32" t="str">
        <f t="shared" si="394"/>
        <v>T</v>
      </c>
      <c r="GA4" s="32" t="str">
        <f t="shared" si="394"/>
        <v>F</v>
      </c>
      <c r="GB4" s="32" t="str">
        <f t="shared" si="394"/>
        <v>M</v>
      </c>
      <c r="GC4" s="32" t="str">
        <f t="shared" si="394"/>
        <v>T</v>
      </c>
      <c r="GD4" s="32" t="str">
        <f t="shared" si="394"/>
        <v>O</v>
      </c>
      <c r="GE4" s="32" t="str">
        <f t="shared" si="394"/>
        <v>T</v>
      </c>
      <c r="GF4" s="32" t="str">
        <f t="shared" si="394"/>
        <v>F</v>
      </c>
      <c r="GG4" s="32" t="str">
        <f t="shared" si="394"/>
        <v>M</v>
      </c>
      <c r="GH4" s="32" t="str">
        <f t="shared" si="394"/>
        <v>T</v>
      </c>
      <c r="GI4" s="32" t="str">
        <f t="shared" si="394"/>
        <v>O</v>
      </c>
      <c r="GJ4" s="32" t="str">
        <f t="shared" si="394"/>
        <v>T</v>
      </c>
      <c r="GK4" s="32" t="str">
        <f t="shared" si="394"/>
        <v>F</v>
      </c>
      <c r="GL4" s="32" t="str">
        <f t="shared" si="394"/>
        <v>M</v>
      </c>
      <c r="GM4" s="32" t="str">
        <f t="shared" si="394"/>
        <v>T</v>
      </c>
      <c r="GN4" s="32" t="str">
        <f t="shared" si="394"/>
        <v>O</v>
      </c>
      <c r="GO4" s="32" t="str">
        <f t="shared" si="394"/>
        <v>T</v>
      </c>
      <c r="GP4" s="32" t="str">
        <f t="shared" si="394"/>
        <v>F</v>
      </c>
      <c r="GQ4" s="32" t="str">
        <f t="shared" si="394"/>
        <v>M</v>
      </c>
      <c r="GR4" s="32" t="str">
        <f t="shared" si="394"/>
        <v>T</v>
      </c>
      <c r="GS4" s="32" t="str">
        <f t="shared" si="394"/>
        <v>O</v>
      </c>
      <c r="GT4" s="32" t="str">
        <f t="shared" si="394"/>
        <v>T</v>
      </c>
      <c r="GU4" s="32" t="str">
        <f t="shared" si="394"/>
        <v>F</v>
      </c>
      <c r="GV4" s="32" t="str">
        <f t="shared" si="394"/>
        <v>M</v>
      </c>
      <c r="GW4" s="32" t="str">
        <f t="shared" ref="GW4:JH4" si="395">UPPER(LEFT(TEXT(GW3,"ddd"),1))</f>
        <v>T</v>
      </c>
      <c r="GX4" s="32" t="str">
        <f t="shared" si="395"/>
        <v>O</v>
      </c>
      <c r="GY4" s="32" t="str">
        <f t="shared" si="395"/>
        <v>T</v>
      </c>
      <c r="GZ4" s="32" t="str">
        <f t="shared" si="395"/>
        <v>F</v>
      </c>
      <c r="HA4" s="32" t="str">
        <f t="shared" si="395"/>
        <v>M</v>
      </c>
      <c r="HB4" s="32" t="str">
        <f t="shared" si="395"/>
        <v>T</v>
      </c>
      <c r="HC4" s="32" t="str">
        <f t="shared" si="395"/>
        <v>O</v>
      </c>
      <c r="HD4" s="32" t="str">
        <f t="shared" si="395"/>
        <v>T</v>
      </c>
      <c r="HE4" s="32" t="str">
        <f t="shared" si="395"/>
        <v>F</v>
      </c>
      <c r="HF4" s="32" t="str">
        <f t="shared" si="395"/>
        <v>M</v>
      </c>
      <c r="HG4" s="32" t="str">
        <f t="shared" si="395"/>
        <v>T</v>
      </c>
      <c r="HH4" s="32" t="str">
        <f t="shared" si="395"/>
        <v>O</v>
      </c>
      <c r="HI4" s="32" t="str">
        <f t="shared" si="395"/>
        <v>T</v>
      </c>
      <c r="HJ4" s="32" t="str">
        <f t="shared" si="395"/>
        <v>F</v>
      </c>
      <c r="HK4" s="32" t="str">
        <f t="shared" si="395"/>
        <v>M</v>
      </c>
      <c r="HL4" s="32" t="str">
        <f t="shared" si="395"/>
        <v>T</v>
      </c>
      <c r="HM4" s="32" t="str">
        <f t="shared" si="395"/>
        <v>O</v>
      </c>
      <c r="HN4" s="32" t="str">
        <f t="shared" si="395"/>
        <v>T</v>
      </c>
      <c r="HO4" s="32" t="str">
        <f t="shared" si="395"/>
        <v>F</v>
      </c>
      <c r="HP4" s="32" t="str">
        <f t="shared" si="395"/>
        <v>M</v>
      </c>
      <c r="HQ4" s="32" t="str">
        <f t="shared" si="395"/>
        <v>T</v>
      </c>
      <c r="HR4" s="32" t="str">
        <f t="shared" si="395"/>
        <v>O</v>
      </c>
      <c r="HS4" s="32" t="str">
        <f t="shared" si="395"/>
        <v>T</v>
      </c>
      <c r="HT4" s="32" t="str">
        <f t="shared" si="395"/>
        <v>F</v>
      </c>
      <c r="HU4" s="32" t="str">
        <f t="shared" si="395"/>
        <v>M</v>
      </c>
      <c r="HV4" s="32" t="str">
        <f t="shared" si="395"/>
        <v>T</v>
      </c>
      <c r="HW4" s="32" t="str">
        <f t="shared" si="395"/>
        <v>O</v>
      </c>
      <c r="HX4" s="32" t="str">
        <f t="shared" si="395"/>
        <v>T</v>
      </c>
      <c r="HY4" s="32" t="str">
        <f t="shared" si="395"/>
        <v>T</v>
      </c>
      <c r="HZ4" s="32" t="str">
        <f t="shared" si="395"/>
        <v>O</v>
      </c>
      <c r="IA4" s="32" t="str">
        <f t="shared" si="395"/>
        <v>T</v>
      </c>
      <c r="IB4" s="32" t="str">
        <f t="shared" si="395"/>
        <v>M</v>
      </c>
      <c r="IC4" s="32" t="str">
        <f t="shared" si="395"/>
        <v>T</v>
      </c>
      <c r="ID4" s="32" t="str">
        <f t="shared" si="395"/>
        <v>O</v>
      </c>
      <c r="IE4" s="32" t="str">
        <f t="shared" si="395"/>
        <v>T</v>
      </c>
      <c r="IF4" s="32" t="str">
        <f t="shared" si="395"/>
        <v>F</v>
      </c>
      <c r="IG4" s="32" t="str">
        <f t="shared" si="395"/>
        <v>M</v>
      </c>
      <c r="IH4" s="32" t="str">
        <f t="shared" si="395"/>
        <v>T</v>
      </c>
      <c r="II4" s="32" t="str">
        <f t="shared" si="395"/>
        <v>O</v>
      </c>
      <c r="IJ4" s="32" t="str">
        <f t="shared" si="395"/>
        <v>T</v>
      </c>
      <c r="IK4" s="32" t="str">
        <f t="shared" si="395"/>
        <v>F</v>
      </c>
      <c r="IL4" s="32" t="str">
        <f t="shared" si="395"/>
        <v>M</v>
      </c>
      <c r="IM4" s="32" t="str">
        <f t="shared" si="395"/>
        <v>T</v>
      </c>
      <c r="IN4" s="32" t="str">
        <f t="shared" si="395"/>
        <v>O</v>
      </c>
      <c r="IO4" s="32" t="str">
        <f t="shared" si="395"/>
        <v>T</v>
      </c>
      <c r="IP4" s="32" t="str">
        <f t="shared" si="395"/>
        <v>F</v>
      </c>
      <c r="IQ4" s="32" t="str">
        <f t="shared" si="395"/>
        <v>M</v>
      </c>
      <c r="IR4" s="32" t="str">
        <f t="shared" si="395"/>
        <v>O</v>
      </c>
      <c r="IS4" s="32" t="str">
        <f t="shared" si="395"/>
        <v>T</v>
      </c>
      <c r="IT4" s="32" t="str">
        <f t="shared" si="395"/>
        <v>F</v>
      </c>
      <c r="IU4" s="32" t="str">
        <f t="shared" si="395"/>
        <v>M</v>
      </c>
      <c r="IV4" s="32" t="str">
        <f t="shared" si="395"/>
        <v>T</v>
      </c>
      <c r="IW4" s="32" t="str">
        <f t="shared" si="395"/>
        <v>O</v>
      </c>
      <c r="IX4" s="32" t="str">
        <f t="shared" si="395"/>
        <v>T</v>
      </c>
      <c r="IY4" s="32" t="str">
        <f t="shared" si="395"/>
        <v>F</v>
      </c>
      <c r="IZ4" s="32" t="str">
        <f t="shared" si="395"/>
        <v>M</v>
      </c>
      <c r="JA4" s="32" t="str">
        <f t="shared" si="395"/>
        <v>T</v>
      </c>
      <c r="JB4" s="32" t="str">
        <f t="shared" si="395"/>
        <v>O</v>
      </c>
      <c r="JC4" s="32" t="str">
        <f t="shared" si="395"/>
        <v>T</v>
      </c>
      <c r="JD4" s="32" t="str">
        <f t="shared" si="395"/>
        <v>F</v>
      </c>
      <c r="JE4" s="32" t="str">
        <f t="shared" si="395"/>
        <v>M</v>
      </c>
      <c r="JF4" s="32" t="str">
        <f t="shared" si="395"/>
        <v>T</v>
      </c>
      <c r="JG4" s="32" t="str">
        <f t="shared" si="395"/>
        <v>O</v>
      </c>
      <c r="JH4" s="32" t="str">
        <f t="shared" si="395"/>
        <v>T</v>
      </c>
      <c r="JI4" s="32" t="str">
        <f t="shared" ref="JI4:LT4" si="396">UPPER(LEFT(TEXT(JI3,"ddd"),1))</f>
        <v>F</v>
      </c>
      <c r="JJ4" s="32" t="str">
        <f t="shared" si="396"/>
        <v>M</v>
      </c>
      <c r="JK4" s="32" t="str">
        <f t="shared" si="396"/>
        <v>T</v>
      </c>
      <c r="JL4" s="32" t="str">
        <f t="shared" si="396"/>
        <v>O</v>
      </c>
      <c r="JM4" s="32" t="str">
        <f t="shared" si="396"/>
        <v>T</v>
      </c>
      <c r="JN4" s="32" t="str">
        <f t="shared" si="396"/>
        <v>F</v>
      </c>
      <c r="JO4" s="32" t="str">
        <f t="shared" si="396"/>
        <v>M</v>
      </c>
      <c r="JP4" s="32" t="str">
        <f t="shared" si="396"/>
        <v>T</v>
      </c>
      <c r="JQ4" s="32" t="str">
        <f t="shared" si="396"/>
        <v>O</v>
      </c>
      <c r="JR4" s="32" t="str">
        <f t="shared" si="396"/>
        <v>T</v>
      </c>
      <c r="JS4" s="32" t="str">
        <f t="shared" si="396"/>
        <v>F</v>
      </c>
      <c r="JT4" s="32" t="str">
        <f t="shared" si="396"/>
        <v>M</v>
      </c>
      <c r="JU4" s="32" t="str">
        <f t="shared" si="396"/>
        <v>T</v>
      </c>
      <c r="JV4" s="32" t="str">
        <f t="shared" si="396"/>
        <v>O</v>
      </c>
      <c r="JW4" s="32" t="str">
        <f t="shared" si="396"/>
        <v>T</v>
      </c>
      <c r="JX4" s="32" t="str">
        <f t="shared" si="396"/>
        <v>F</v>
      </c>
      <c r="JY4" s="32" t="str">
        <f t="shared" si="396"/>
        <v>M</v>
      </c>
      <c r="JZ4" s="32" t="str">
        <f t="shared" si="396"/>
        <v>T</v>
      </c>
      <c r="KA4" s="32" t="str">
        <f t="shared" si="396"/>
        <v>O</v>
      </c>
      <c r="KB4" s="32" t="str">
        <f t="shared" si="396"/>
        <v>T</v>
      </c>
      <c r="KC4" s="32" t="str">
        <f t="shared" si="396"/>
        <v>F</v>
      </c>
      <c r="KD4" s="32" t="str">
        <f t="shared" si="396"/>
        <v>M</v>
      </c>
      <c r="KE4" s="32" t="str">
        <f t="shared" si="396"/>
        <v>T</v>
      </c>
      <c r="KF4" s="32" t="str">
        <f t="shared" si="396"/>
        <v>O</v>
      </c>
      <c r="KG4" s="32" t="str">
        <f t="shared" si="396"/>
        <v>T</v>
      </c>
      <c r="KH4" s="32" t="str">
        <f t="shared" si="396"/>
        <v>T</v>
      </c>
      <c r="KI4" s="32" t="str">
        <f t="shared" si="396"/>
        <v>O</v>
      </c>
      <c r="KJ4" s="32" t="str">
        <f t="shared" si="396"/>
        <v>T</v>
      </c>
      <c r="KK4" s="32" t="str">
        <f t="shared" si="396"/>
        <v>F</v>
      </c>
      <c r="KL4" s="32" t="str">
        <f t="shared" si="396"/>
        <v>M</v>
      </c>
      <c r="KM4" s="32" t="str">
        <f t="shared" si="396"/>
        <v>T</v>
      </c>
      <c r="KN4" s="32" t="str">
        <f t="shared" si="396"/>
        <v>O</v>
      </c>
      <c r="KO4" s="32" t="str">
        <f t="shared" si="396"/>
        <v>T</v>
      </c>
      <c r="KP4" s="32" t="str">
        <f t="shared" si="396"/>
        <v>F</v>
      </c>
      <c r="KQ4" s="32" t="str">
        <f t="shared" si="396"/>
        <v>M</v>
      </c>
      <c r="KR4" s="32" t="str">
        <f t="shared" si="396"/>
        <v>T</v>
      </c>
      <c r="KS4" s="32" t="str">
        <f t="shared" si="396"/>
        <v>O</v>
      </c>
      <c r="KT4" s="32" t="str">
        <f t="shared" si="396"/>
        <v>T</v>
      </c>
      <c r="KU4" s="32" t="str">
        <f t="shared" si="396"/>
        <v>F</v>
      </c>
      <c r="KV4" s="32" t="str">
        <f t="shared" si="396"/>
        <v>M</v>
      </c>
      <c r="KW4" s="32" t="str">
        <f t="shared" si="396"/>
        <v>T</v>
      </c>
      <c r="KX4" s="32" t="str">
        <f t="shared" si="396"/>
        <v>O</v>
      </c>
      <c r="KY4" s="32" t="str">
        <f t="shared" si="396"/>
        <v>T</v>
      </c>
      <c r="KZ4" s="32" t="str">
        <f t="shared" si="396"/>
        <v>F</v>
      </c>
      <c r="LA4" s="32" t="str">
        <f t="shared" si="396"/>
        <v>M</v>
      </c>
      <c r="LB4" s="32" t="str">
        <f t="shared" si="396"/>
        <v>T</v>
      </c>
      <c r="LC4" s="32" t="str">
        <f t="shared" si="396"/>
        <v>O</v>
      </c>
      <c r="LD4" s="32" t="str">
        <f t="shared" si="396"/>
        <v>T</v>
      </c>
      <c r="LE4" s="32" t="str">
        <f t="shared" si="396"/>
        <v>F</v>
      </c>
      <c r="LF4" s="32" t="str">
        <f t="shared" si="396"/>
        <v>M</v>
      </c>
      <c r="LG4" s="32" t="str">
        <f t="shared" si="396"/>
        <v>T</v>
      </c>
      <c r="LH4" s="32" t="str">
        <f t="shared" si="396"/>
        <v>O</v>
      </c>
      <c r="LI4" s="32" t="str">
        <f t="shared" si="396"/>
        <v>T</v>
      </c>
      <c r="LJ4" s="32" t="str">
        <f t="shared" si="396"/>
        <v>F</v>
      </c>
      <c r="LK4" s="32" t="str">
        <f t="shared" si="396"/>
        <v>M</v>
      </c>
      <c r="LL4" s="32" t="str">
        <f t="shared" si="396"/>
        <v>T</v>
      </c>
      <c r="LM4" s="32" t="str">
        <f t="shared" si="396"/>
        <v>O</v>
      </c>
      <c r="LN4" s="32" t="str">
        <f t="shared" si="396"/>
        <v>T</v>
      </c>
      <c r="LO4" s="32" t="str">
        <f t="shared" si="396"/>
        <v>F</v>
      </c>
      <c r="LP4" s="32" t="str">
        <f t="shared" si="396"/>
        <v>M</v>
      </c>
      <c r="LQ4" s="32" t="str">
        <f t="shared" si="396"/>
        <v>T</v>
      </c>
      <c r="LR4" s="32" t="str">
        <f t="shared" si="396"/>
        <v>O</v>
      </c>
      <c r="LS4" s="32" t="str">
        <f t="shared" si="396"/>
        <v>T</v>
      </c>
      <c r="LT4" s="32" t="str">
        <f t="shared" si="396"/>
        <v>F</v>
      </c>
      <c r="LU4" s="32" t="str">
        <f t="shared" ref="LU4:OF4" si="397">UPPER(LEFT(TEXT(LU3,"ddd"),1))</f>
        <v>M</v>
      </c>
      <c r="LV4" s="32" t="str">
        <f t="shared" si="397"/>
        <v>T</v>
      </c>
      <c r="LW4" s="32" t="str">
        <f t="shared" si="397"/>
        <v>O</v>
      </c>
      <c r="LX4" s="32" t="str">
        <f t="shared" si="397"/>
        <v>T</v>
      </c>
      <c r="LY4" s="32" t="str">
        <f t="shared" si="397"/>
        <v>F</v>
      </c>
      <c r="LZ4" s="32" t="str">
        <f t="shared" si="397"/>
        <v>M</v>
      </c>
      <c r="MA4" s="32" t="str">
        <f t="shared" si="397"/>
        <v>T</v>
      </c>
      <c r="MB4" s="32" t="str">
        <f t="shared" si="397"/>
        <v>O</v>
      </c>
      <c r="MC4" s="32" t="str">
        <f t="shared" si="397"/>
        <v>T</v>
      </c>
      <c r="MD4" s="32" t="str">
        <f t="shared" si="397"/>
        <v>F</v>
      </c>
      <c r="ME4" s="32" t="str">
        <f t="shared" si="397"/>
        <v>M</v>
      </c>
      <c r="MF4" s="32" t="str">
        <f t="shared" si="397"/>
        <v>T</v>
      </c>
      <c r="MG4" s="32" t="str">
        <f t="shared" si="397"/>
        <v>O</v>
      </c>
      <c r="MH4" s="32" t="str">
        <f t="shared" si="397"/>
        <v>T</v>
      </c>
      <c r="MI4" s="32" t="str">
        <f t="shared" si="397"/>
        <v>F</v>
      </c>
      <c r="MJ4" s="32" t="str">
        <f t="shared" si="397"/>
        <v>T</v>
      </c>
      <c r="MK4" s="32" t="str">
        <f t="shared" si="397"/>
        <v>O</v>
      </c>
      <c r="ML4" s="32" t="str">
        <f t="shared" si="397"/>
        <v>T</v>
      </c>
      <c r="MM4" s="32" t="str">
        <f t="shared" si="397"/>
        <v>F</v>
      </c>
      <c r="MN4" s="32" t="str">
        <f t="shared" si="397"/>
        <v>M</v>
      </c>
      <c r="MO4" s="32" t="str">
        <f t="shared" si="397"/>
        <v>T</v>
      </c>
      <c r="MP4" s="32" t="str">
        <f t="shared" si="397"/>
        <v>O</v>
      </c>
      <c r="MQ4" s="32" t="str">
        <f t="shared" si="397"/>
        <v>T</v>
      </c>
      <c r="MR4" s="32" t="str">
        <f t="shared" si="397"/>
        <v>F</v>
      </c>
      <c r="MS4" s="32" t="str">
        <f t="shared" si="397"/>
        <v>M</v>
      </c>
      <c r="MT4" s="32" t="str">
        <f t="shared" si="397"/>
        <v>T</v>
      </c>
      <c r="MU4" s="32" t="str">
        <f t="shared" si="397"/>
        <v>O</v>
      </c>
      <c r="MV4" s="32" t="str">
        <f t="shared" si="397"/>
        <v>T</v>
      </c>
      <c r="MW4" s="32" t="str">
        <f t="shared" si="397"/>
        <v>F</v>
      </c>
      <c r="MX4" s="32" t="str">
        <f t="shared" si="397"/>
        <v>M</v>
      </c>
      <c r="MY4" s="32" t="str">
        <f t="shared" si="397"/>
        <v>T</v>
      </c>
      <c r="MZ4" s="32" t="str">
        <f t="shared" si="397"/>
        <v>O</v>
      </c>
      <c r="NA4" s="32" t="str">
        <f t="shared" si="397"/>
        <v>T</v>
      </c>
      <c r="NB4" s="32" t="str">
        <f t="shared" si="397"/>
        <v>F</v>
      </c>
      <c r="NC4" s="32" t="str">
        <f t="shared" si="397"/>
        <v>M</v>
      </c>
      <c r="ND4" s="32" t="str">
        <f t="shared" si="397"/>
        <v>T</v>
      </c>
      <c r="NE4" s="32" t="str">
        <f t="shared" si="397"/>
        <v>O</v>
      </c>
      <c r="NF4" s="32" t="str">
        <f t="shared" si="397"/>
        <v>T</v>
      </c>
      <c r="NG4" s="32" t="str">
        <f t="shared" si="397"/>
        <v>F</v>
      </c>
      <c r="NH4" s="32" t="str">
        <f t="shared" si="397"/>
        <v>M</v>
      </c>
      <c r="NI4" s="32" t="str">
        <f t="shared" si="397"/>
        <v>T</v>
      </c>
      <c r="NJ4" s="32" t="str">
        <f t="shared" si="397"/>
        <v>O</v>
      </c>
      <c r="NK4" s="32" t="str">
        <f t="shared" si="397"/>
        <v>T</v>
      </c>
      <c r="NL4" s="32" t="str">
        <f t="shared" si="397"/>
        <v>F</v>
      </c>
      <c r="NM4" s="32" t="str">
        <f t="shared" si="397"/>
        <v>M</v>
      </c>
      <c r="NN4" s="32" t="str">
        <f t="shared" si="397"/>
        <v>T</v>
      </c>
      <c r="NO4" s="32" t="str">
        <f t="shared" si="397"/>
        <v>O</v>
      </c>
      <c r="NP4" s="32" t="str">
        <f t="shared" si="397"/>
        <v>T</v>
      </c>
      <c r="NQ4" s="32" t="str">
        <f t="shared" si="397"/>
        <v>F</v>
      </c>
      <c r="NR4" s="32" t="str">
        <f t="shared" si="397"/>
        <v>M</v>
      </c>
      <c r="NS4" s="32" t="str">
        <f t="shared" si="397"/>
        <v>T</v>
      </c>
      <c r="NT4" s="32" t="str">
        <f t="shared" si="397"/>
        <v>O</v>
      </c>
      <c r="NU4" s="32" t="str">
        <f t="shared" si="397"/>
        <v>T</v>
      </c>
      <c r="NV4" s="32" t="str">
        <f t="shared" si="397"/>
        <v>F</v>
      </c>
      <c r="NW4" s="32" t="str">
        <f t="shared" si="397"/>
        <v>M</v>
      </c>
      <c r="NX4" s="32" t="str">
        <f t="shared" si="397"/>
        <v>T</v>
      </c>
      <c r="NY4" s="32" t="str">
        <f t="shared" si="397"/>
        <v>O</v>
      </c>
      <c r="NZ4" s="32" t="str">
        <f t="shared" si="397"/>
        <v>T</v>
      </c>
      <c r="OA4" s="32" t="str">
        <f t="shared" si="397"/>
        <v>F</v>
      </c>
      <c r="OB4" s="32" t="str">
        <f t="shared" si="397"/>
        <v>M</v>
      </c>
      <c r="OC4" s="32" t="str">
        <f t="shared" si="397"/>
        <v>T</v>
      </c>
      <c r="OD4" s="32" t="str">
        <f t="shared" si="397"/>
        <v>O</v>
      </c>
      <c r="OE4" s="32" t="str">
        <f t="shared" si="397"/>
        <v>T</v>
      </c>
      <c r="OF4" s="32" t="str">
        <f t="shared" si="397"/>
        <v>F</v>
      </c>
      <c r="OG4" s="32" t="str">
        <f t="shared" ref="OG4:QM4" si="398">UPPER(LEFT(TEXT(OG3,"ddd"),1))</f>
        <v>M</v>
      </c>
      <c r="OH4" s="32" t="str">
        <f t="shared" si="398"/>
        <v>T</v>
      </c>
      <c r="OI4" s="32" t="str">
        <f t="shared" si="398"/>
        <v>O</v>
      </c>
      <c r="OJ4" s="32" t="str">
        <f t="shared" si="398"/>
        <v>T</v>
      </c>
      <c r="OK4" s="32" t="str">
        <f t="shared" si="398"/>
        <v>F</v>
      </c>
      <c r="OL4" s="32" t="str">
        <f t="shared" si="398"/>
        <v>M</v>
      </c>
      <c r="OM4" s="32" t="str">
        <f t="shared" si="398"/>
        <v>T</v>
      </c>
      <c r="ON4" s="32" t="str">
        <f t="shared" si="398"/>
        <v>O</v>
      </c>
      <c r="OO4" s="32" t="str">
        <f t="shared" si="398"/>
        <v>T</v>
      </c>
      <c r="OP4" s="32" t="str">
        <f t="shared" si="398"/>
        <v>F</v>
      </c>
      <c r="OQ4" s="32" t="str">
        <f t="shared" si="398"/>
        <v>M</v>
      </c>
      <c r="OR4" s="32" t="str">
        <f t="shared" si="398"/>
        <v>T</v>
      </c>
      <c r="OS4" s="32" t="str">
        <f t="shared" si="398"/>
        <v>O</v>
      </c>
      <c r="OT4" s="32" t="str">
        <f t="shared" si="398"/>
        <v>T</v>
      </c>
      <c r="OU4" s="32" t="str">
        <f t="shared" si="398"/>
        <v>F</v>
      </c>
      <c r="OV4" s="32" t="str">
        <f t="shared" si="398"/>
        <v>M</v>
      </c>
      <c r="OW4" s="32" t="str">
        <f t="shared" si="398"/>
        <v>T</v>
      </c>
      <c r="OX4" s="32" t="str">
        <f t="shared" si="398"/>
        <v>O</v>
      </c>
      <c r="OY4" s="32" t="str">
        <f t="shared" si="398"/>
        <v>T</v>
      </c>
      <c r="OZ4" s="32" t="str">
        <f t="shared" si="398"/>
        <v>F</v>
      </c>
      <c r="PA4" s="32" t="str">
        <f t="shared" si="398"/>
        <v>M</v>
      </c>
      <c r="PB4" s="32" t="str">
        <f t="shared" si="398"/>
        <v>T</v>
      </c>
      <c r="PC4" s="32" t="str">
        <f t="shared" si="398"/>
        <v>O</v>
      </c>
      <c r="PD4" s="32" t="str">
        <f t="shared" si="398"/>
        <v>T</v>
      </c>
      <c r="PE4" s="32" t="str">
        <f t="shared" si="398"/>
        <v>F</v>
      </c>
      <c r="PF4" s="32" t="str">
        <f t="shared" si="398"/>
        <v>M</v>
      </c>
      <c r="PG4" s="32" t="str">
        <f t="shared" si="398"/>
        <v>T</v>
      </c>
      <c r="PH4" s="32" t="str">
        <f t="shared" si="398"/>
        <v>O</v>
      </c>
      <c r="PI4" s="32" t="str">
        <f t="shared" si="398"/>
        <v>T</v>
      </c>
      <c r="PJ4" s="32" t="str">
        <f t="shared" si="398"/>
        <v>F</v>
      </c>
      <c r="PK4" s="32" t="str">
        <f t="shared" si="398"/>
        <v>T</v>
      </c>
      <c r="PL4" s="32" t="str">
        <f t="shared" si="398"/>
        <v>O</v>
      </c>
      <c r="PM4" s="32" t="str">
        <f t="shared" si="398"/>
        <v>T</v>
      </c>
      <c r="PN4" s="32" t="str">
        <f t="shared" si="398"/>
        <v>F</v>
      </c>
      <c r="PO4" s="45" t="str">
        <f t="shared" si="398"/>
        <v>M</v>
      </c>
      <c r="PP4" s="32" t="str">
        <f t="shared" si="398"/>
        <v>T</v>
      </c>
      <c r="PQ4" s="32" t="str">
        <f t="shared" si="398"/>
        <v>O</v>
      </c>
      <c r="PR4" s="32" t="str">
        <f t="shared" si="398"/>
        <v>T</v>
      </c>
      <c r="PS4" s="32" t="str">
        <f t="shared" si="398"/>
        <v>F</v>
      </c>
      <c r="PT4" s="32" t="str">
        <f t="shared" si="398"/>
        <v>M</v>
      </c>
      <c r="PU4" s="32" t="str">
        <f t="shared" si="398"/>
        <v>T</v>
      </c>
      <c r="PV4" s="32" t="str">
        <f t="shared" si="398"/>
        <v>O</v>
      </c>
      <c r="PW4" s="32" t="str">
        <f t="shared" si="398"/>
        <v>T</v>
      </c>
      <c r="PX4" s="32" t="str">
        <f t="shared" si="398"/>
        <v>F</v>
      </c>
      <c r="PY4" s="32" t="str">
        <f t="shared" si="398"/>
        <v>M</v>
      </c>
      <c r="PZ4" s="32" t="str">
        <f t="shared" si="398"/>
        <v>T</v>
      </c>
      <c r="QA4" s="32" t="str">
        <f t="shared" si="398"/>
        <v>O</v>
      </c>
      <c r="QB4" s="32" t="str">
        <f t="shared" si="398"/>
        <v>T</v>
      </c>
      <c r="QC4" s="32" t="str">
        <f t="shared" si="398"/>
        <v>F</v>
      </c>
      <c r="QD4" s="32" t="str">
        <f t="shared" si="398"/>
        <v>M</v>
      </c>
      <c r="QE4" s="32" t="str">
        <f t="shared" si="398"/>
        <v>T</v>
      </c>
      <c r="QF4" s="32" t="str">
        <f t="shared" si="398"/>
        <v>O</v>
      </c>
      <c r="QG4" s="32" t="str">
        <f t="shared" si="398"/>
        <v>T</v>
      </c>
      <c r="QH4" s="32" t="str">
        <f t="shared" si="398"/>
        <v>F</v>
      </c>
      <c r="QI4" s="32" t="str">
        <f t="shared" si="398"/>
        <v>M</v>
      </c>
      <c r="QJ4" s="32" t="str">
        <f t="shared" si="398"/>
        <v>T</v>
      </c>
      <c r="QK4" s="32" t="str">
        <f t="shared" si="398"/>
        <v>O</v>
      </c>
      <c r="QL4" s="32" t="str">
        <f t="shared" si="398"/>
        <v>T</v>
      </c>
      <c r="QM4" s="32" t="str">
        <f t="shared" si="398"/>
        <v>F</v>
      </c>
    </row>
    <row r="5" spans="1:455" ht="16.5" customHeight="1" x14ac:dyDescent="0.35">
      <c r="B5" s="1"/>
      <c r="G5"/>
      <c r="H5" s="73" t="s">
        <v>418</v>
      </c>
      <c r="I5" s="35"/>
      <c r="J5" s="66"/>
      <c r="K5" s="35"/>
      <c r="L5" s="81"/>
      <c r="M5" s="82">
        <v>1</v>
      </c>
      <c r="N5" s="78"/>
      <c r="O5" s="78"/>
      <c r="P5" s="78"/>
      <c r="Q5" s="78"/>
      <c r="R5" s="78">
        <f>M5+1</f>
        <v>2</v>
      </c>
      <c r="S5" s="79"/>
      <c r="T5" s="79"/>
      <c r="U5" s="79"/>
      <c r="V5" s="79"/>
      <c r="W5" s="78">
        <f>R5+1</f>
        <v>3</v>
      </c>
      <c r="X5" s="79"/>
      <c r="Y5" s="79"/>
      <c r="Z5" s="79"/>
      <c r="AA5" s="79"/>
      <c r="AB5" s="78">
        <f>W5+1</f>
        <v>4</v>
      </c>
      <c r="AC5" s="79"/>
      <c r="AD5" s="79"/>
      <c r="AE5" s="79"/>
      <c r="AF5" s="79"/>
      <c r="AG5" s="78">
        <f>AB5+1</f>
        <v>5</v>
      </c>
      <c r="AH5" s="79"/>
      <c r="AI5" s="79"/>
      <c r="AJ5" s="79"/>
      <c r="AK5" s="79"/>
      <c r="AL5" s="78">
        <f>AG5+1</f>
        <v>6</v>
      </c>
      <c r="AM5" s="79"/>
      <c r="AN5" s="79"/>
      <c r="AO5" s="79"/>
      <c r="AP5" s="79"/>
      <c r="AQ5" s="78">
        <f>AL5+1</f>
        <v>7</v>
      </c>
      <c r="AR5" s="79"/>
      <c r="AS5" s="79"/>
      <c r="AT5" s="79"/>
      <c r="AU5" s="78">
        <f>AQ5+1</f>
        <v>8</v>
      </c>
      <c r="AV5" s="79"/>
      <c r="AW5" s="79"/>
      <c r="AX5" s="79"/>
      <c r="AY5" s="78">
        <f>AU5+1</f>
        <v>9</v>
      </c>
      <c r="AZ5" s="79"/>
      <c r="BA5" s="79"/>
      <c r="BB5" s="79"/>
      <c r="BC5" s="79"/>
      <c r="BD5" s="78">
        <f>AY5+1</f>
        <v>10</v>
      </c>
      <c r="BE5" s="79"/>
      <c r="BF5" s="79"/>
      <c r="BG5" s="79"/>
      <c r="BH5" s="79"/>
      <c r="BI5" s="78">
        <f>BD5+1</f>
        <v>11</v>
      </c>
      <c r="BJ5" s="79"/>
      <c r="BK5" s="79"/>
      <c r="BL5" s="79"/>
      <c r="BM5" s="79"/>
      <c r="BN5" s="78">
        <f>BI5+1</f>
        <v>12</v>
      </c>
      <c r="BO5" s="78"/>
      <c r="BP5" s="78"/>
      <c r="BQ5" s="78"/>
      <c r="BR5" s="78"/>
      <c r="BS5" s="78">
        <f>BN5+1</f>
        <v>13</v>
      </c>
      <c r="BT5" s="78"/>
      <c r="BU5" s="78"/>
      <c r="BV5" s="78"/>
      <c r="BW5" s="78"/>
      <c r="BX5" s="78">
        <f>BS5+1</f>
        <v>14</v>
      </c>
      <c r="BY5" s="78"/>
      <c r="BZ5" s="78"/>
      <c r="CA5" s="78"/>
      <c r="CB5" s="78"/>
      <c r="CC5" s="78">
        <f>BX5+1</f>
        <v>15</v>
      </c>
      <c r="CD5" s="78"/>
      <c r="CE5" s="78"/>
      <c r="CF5" s="78"/>
      <c r="CG5" s="78"/>
      <c r="CH5" s="78">
        <f>CC5+1</f>
        <v>16</v>
      </c>
      <c r="CI5" s="78"/>
      <c r="CJ5" s="78"/>
      <c r="CK5" s="78"/>
      <c r="CL5" s="78"/>
      <c r="CM5" s="78">
        <f>CH5+1</f>
        <v>17</v>
      </c>
      <c r="CN5" s="79"/>
      <c r="CO5" s="79"/>
      <c r="CP5" s="79"/>
      <c r="CQ5" s="78">
        <f>CM5+1</f>
        <v>18</v>
      </c>
      <c r="CR5" s="79"/>
      <c r="CS5" s="79"/>
      <c r="CT5" s="79"/>
      <c r="CU5" s="79"/>
      <c r="CV5" s="78">
        <f>CQ5+1</f>
        <v>19</v>
      </c>
      <c r="CW5" s="79"/>
      <c r="CX5" s="79"/>
      <c r="CY5" s="79"/>
      <c r="CZ5" s="79"/>
      <c r="DA5" s="78">
        <f>CV5+1</f>
        <v>20</v>
      </c>
      <c r="DB5" s="79"/>
      <c r="DC5" s="79"/>
      <c r="DD5" s="79"/>
      <c r="DE5" s="79"/>
      <c r="DF5" s="78">
        <f t="shared" ref="DF5" si="399">DA5+1</f>
        <v>21</v>
      </c>
      <c r="DG5" s="79"/>
      <c r="DH5" s="79"/>
      <c r="DI5" s="79"/>
      <c r="DJ5" s="79"/>
      <c r="DK5" s="78">
        <f t="shared" ref="DK5" si="400">DF5+1</f>
        <v>22</v>
      </c>
      <c r="DL5" s="79"/>
      <c r="DM5" s="79"/>
      <c r="DN5" s="79"/>
      <c r="DO5" s="79"/>
      <c r="DP5" s="78">
        <f t="shared" ref="DP5" si="401">DK5+1</f>
        <v>23</v>
      </c>
      <c r="DQ5" s="79"/>
      <c r="DR5" s="79"/>
      <c r="DS5" s="79"/>
      <c r="DT5" s="79"/>
      <c r="DU5" s="78">
        <f t="shared" ref="DU5" si="402">DP5+1</f>
        <v>24</v>
      </c>
      <c r="DV5" s="79"/>
      <c r="DW5" s="79"/>
      <c r="DX5" s="79"/>
      <c r="DY5" s="79"/>
      <c r="DZ5" s="78">
        <f t="shared" ref="DZ5" si="403">DU5+1</f>
        <v>25</v>
      </c>
      <c r="EA5" s="79"/>
      <c r="EB5" s="79"/>
      <c r="EC5" s="79"/>
      <c r="ED5" s="79"/>
      <c r="EE5" s="78">
        <f t="shared" ref="EE5" si="404">DZ5+1</f>
        <v>26</v>
      </c>
      <c r="EF5" s="79"/>
      <c r="EG5" s="79"/>
      <c r="EH5" s="79"/>
      <c r="EI5" s="79"/>
      <c r="EJ5" s="78">
        <f t="shared" ref="EJ5" si="405">EE5+1</f>
        <v>27</v>
      </c>
      <c r="EK5" s="79"/>
      <c r="EL5" s="79"/>
      <c r="EM5" s="79"/>
      <c r="EN5" s="79"/>
      <c r="EO5" s="78">
        <f t="shared" ref="EO5" si="406">EJ5+1</f>
        <v>28</v>
      </c>
      <c r="EP5" s="79"/>
      <c r="EQ5" s="79"/>
      <c r="ER5" s="79"/>
      <c r="ES5" s="79"/>
      <c r="ET5" s="78">
        <f t="shared" ref="ET5" si="407">EO5+1</f>
        <v>29</v>
      </c>
      <c r="EU5" s="79"/>
      <c r="EV5" s="79"/>
      <c r="EW5" s="79"/>
      <c r="EX5" s="79"/>
      <c r="EY5" s="78">
        <f t="shared" ref="EY5" si="408">ET5+1</f>
        <v>30</v>
      </c>
      <c r="EZ5" s="79"/>
      <c r="FA5" s="79"/>
      <c r="FB5" s="79"/>
      <c r="FC5" s="79"/>
      <c r="FD5" s="78">
        <f t="shared" ref="FD5" si="409">EY5+1</f>
        <v>31</v>
      </c>
      <c r="FE5" s="79"/>
      <c r="FF5" s="79"/>
      <c r="FG5" s="79"/>
      <c r="FH5" s="79"/>
      <c r="FI5" s="78">
        <f t="shared" ref="FI5" si="410">FD5+1</f>
        <v>32</v>
      </c>
      <c r="FJ5" s="79"/>
      <c r="FK5" s="79"/>
      <c r="FL5" s="79"/>
      <c r="FM5" s="79"/>
      <c r="FN5" s="78">
        <f t="shared" ref="FN5" si="411">FI5+1</f>
        <v>33</v>
      </c>
      <c r="FO5" s="79"/>
      <c r="FP5" s="79"/>
      <c r="FQ5" s="79"/>
      <c r="FR5" s="79"/>
      <c r="FS5" s="78">
        <f>FN5+1</f>
        <v>34</v>
      </c>
      <c r="FT5" s="79"/>
      <c r="FU5" s="79"/>
      <c r="FV5" s="79"/>
      <c r="FW5" s="78">
        <f>FS5+1</f>
        <v>35</v>
      </c>
      <c r="FX5" s="79"/>
      <c r="FY5" s="79"/>
      <c r="FZ5" s="79"/>
      <c r="GA5" s="79"/>
      <c r="GB5" s="78">
        <f>FW5+1</f>
        <v>36</v>
      </c>
      <c r="GC5" s="79"/>
      <c r="GD5" s="79"/>
      <c r="GE5" s="79"/>
      <c r="GF5" s="79"/>
      <c r="GG5" s="78">
        <f t="shared" ref="GG5" si="412">GB5+1</f>
        <v>37</v>
      </c>
      <c r="GH5" s="79"/>
      <c r="GI5" s="79"/>
      <c r="GJ5" s="79"/>
      <c r="GK5" s="79"/>
      <c r="GL5" s="78">
        <f t="shared" ref="GL5" si="413">GG5+1</f>
        <v>38</v>
      </c>
      <c r="GM5" s="79"/>
      <c r="GN5" s="79"/>
      <c r="GO5" s="79"/>
      <c r="GP5" s="79"/>
      <c r="GQ5" s="78">
        <f t="shared" ref="GQ5" si="414">GL5+1</f>
        <v>39</v>
      </c>
      <c r="GR5" s="79"/>
      <c r="GS5" s="79"/>
      <c r="GT5" s="79"/>
      <c r="GU5" s="79"/>
      <c r="GV5" s="78">
        <f t="shared" ref="GV5" si="415">GQ5+1</f>
        <v>40</v>
      </c>
      <c r="GW5" s="79"/>
      <c r="GX5" s="79"/>
      <c r="GY5" s="79"/>
      <c r="GZ5" s="79"/>
      <c r="HA5" s="78">
        <f t="shared" ref="HA5" si="416">GV5+1</f>
        <v>41</v>
      </c>
      <c r="HB5" s="79"/>
      <c r="HC5" s="79"/>
      <c r="HD5" s="79"/>
      <c r="HE5" s="79"/>
      <c r="HF5" s="78">
        <f t="shared" ref="HF5" si="417">HA5+1</f>
        <v>42</v>
      </c>
      <c r="HG5" s="79"/>
      <c r="HH5" s="79"/>
      <c r="HI5" s="79"/>
      <c r="HJ5" s="79"/>
      <c r="HK5" s="78">
        <f t="shared" ref="HK5" si="418">HF5+1</f>
        <v>43</v>
      </c>
      <c r="HL5" s="79"/>
      <c r="HM5" s="79"/>
      <c r="HN5" s="79"/>
      <c r="HO5" s="79"/>
      <c r="HP5" s="78">
        <f t="shared" ref="HP5" si="419">HK5+1</f>
        <v>44</v>
      </c>
      <c r="HQ5" s="79"/>
      <c r="HR5" s="79"/>
      <c r="HS5" s="79"/>
      <c r="HT5" s="79"/>
      <c r="HU5" s="78">
        <f>HP5+1</f>
        <v>45</v>
      </c>
      <c r="HV5" s="79"/>
      <c r="HW5" s="79"/>
      <c r="HX5" s="79"/>
      <c r="HY5" s="78">
        <f>HU5+1</f>
        <v>46</v>
      </c>
      <c r="HZ5" s="79"/>
      <c r="IA5" s="79"/>
      <c r="IB5" s="78">
        <f>HY5+1</f>
        <v>47</v>
      </c>
      <c r="IC5" s="79"/>
      <c r="ID5" s="79"/>
      <c r="IE5" s="79"/>
      <c r="IF5" s="79"/>
      <c r="IG5" s="78">
        <f>IB5+1</f>
        <v>48</v>
      </c>
      <c r="IH5" s="79"/>
      <c r="II5" s="79"/>
      <c r="IJ5" s="79"/>
      <c r="IK5" s="79"/>
      <c r="IL5" s="78">
        <f>IG5+1</f>
        <v>49</v>
      </c>
      <c r="IM5" s="79"/>
      <c r="IN5" s="79"/>
      <c r="IO5" s="79"/>
      <c r="IP5" s="79"/>
      <c r="IQ5" s="78">
        <f>IL5+1</f>
        <v>50</v>
      </c>
      <c r="IR5" s="79"/>
      <c r="IS5" s="79"/>
      <c r="IT5" s="79"/>
      <c r="IU5" s="78">
        <f>IQ5+1</f>
        <v>51</v>
      </c>
      <c r="IV5" s="79"/>
      <c r="IW5" s="79"/>
      <c r="IX5" s="79"/>
      <c r="IY5" s="79"/>
      <c r="IZ5" s="78">
        <f>IU5+1</f>
        <v>52</v>
      </c>
      <c r="JA5" s="79"/>
      <c r="JB5" s="79"/>
      <c r="JC5" s="79"/>
      <c r="JD5" s="79"/>
      <c r="JE5" s="78">
        <f t="shared" ref="JE5" si="420">IZ5+1</f>
        <v>53</v>
      </c>
      <c r="JF5" s="79"/>
      <c r="JG5" s="79"/>
      <c r="JH5" s="79"/>
      <c r="JI5" s="79"/>
      <c r="JJ5" s="78">
        <f t="shared" ref="JJ5" si="421">JE5+1</f>
        <v>54</v>
      </c>
      <c r="JK5" s="79"/>
      <c r="JL5" s="79"/>
      <c r="JM5" s="79"/>
      <c r="JN5" s="79"/>
      <c r="JO5" s="78">
        <f t="shared" ref="JO5" si="422">JJ5+1</f>
        <v>55</v>
      </c>
      <c r="JP5" s="79"/>
      <c r="JQ5" s="79"/>
      <c r="JR5" s="79"/>
      <c r="JS5" s="79"/>
      <c r="JT5" s="78">
        <f t="shared" ref="JT5" si="423">JO5+1</f>
        <v>56</v>
      </c>
      <c r="JU5" s="79"/>
      <c r="JV5" s="79"/>
      <c r="JW5" s="79"/>
      <c r="JX5" s="79"/>
      <c r="JY5" s="78">
        <f>JT5+1</f>
        <v>57</v>
      </c>
      <c r="JZ5" s="79"/>
      <c r="KA5" s="79"/>
      <c r="KB5" s="79"/>
      <c r="KC5" s="79"/>
      <c r="KD5" s="78">
        <f>JY5+1</f>
        <v>58</v>
      </c>
      <c r="KE5" s="79"/>
      <c r="KF5" s="79"/>
      <c r="KG5" s="79"/>
      <c r="KH5" s="78">
        <f>KD5+1</f>
        <v>59</v>
      </c>
      <c r="KI5" s="79"/>
      <c r="KJ5" s="79"/>
      <c r="KK5" s="79"/>
      <c r="KL5" s="78">
        <f>KH5+1</f>
        <v>60</v>
      </c>
      <c r="KM5" s="79"/>
      <c r="KN5" s="79"/>
      <c r="KO5" s="79"/>
      <c r="KP5" s="79"/>
      <c r="KQ5" s="78">
        <f>KL5+1</f>
        <v>61</v>
      </c>
      <c r="KR5" s="79"/>
      <c r="KS5" s="79"/>
      <c r="KT5" s="79"/>
      <c r="KU5" s="79"/>
      <c r="KV5" s="78">
        <f>KQ5+1</f>
        <v>62</v>
      </c>
      <c r="KW5" s="79"/>
      <c r="KX5" s="79"/>
      <c r="KY5" s="79"/>
      <c r="KZ5" s="79"/>
      <c r="LA5" s="78">
        <f t="shared" ref="LA5" si="424">KV5+1</f>
        <v>63</v>
      </c>
      <c r="LB5" s="79"/>
      <c r="LC5" s="79"/>
      <c r="LD5" s="79"/>
      <c r="LE5" s="79"/>
      <c r="LF5" s="78">
        <f t="shared" ref="LF5" si="425">LA5+1</f>
        <v>64</v>
      </c>
      <c r="LG5" s="79"/>
      <c r="LH5" s="79"/>
      <c r="LI5" s="79"/>
      <c r="LJ5" s="79"/>
      <c r="LK5" s="78">
        <f t="shared" ref="LK5" si="426">LF5+1</f>
        <v>65</v>
      </c>
      <c r="LL5" s="79"/>
      <c r="LM5" s="79"/>
      <c r="LN5" s="79"/>
      <c r="LO5" s="79"/>
      <c r="LP5" s="78">
        <f t="shared" ref="LP5" si="427">LK5+1</f>
        <v>66</v>
      </c>
      <c r="LQ5" s="79"/>
      <c r="LR5" s="79"/>
      <c r="LS5" s="79"/>
      <c r="LT5" s="79"/>
      <c r="LU5" s="78">
        <f t="shared" ref="LU5" si="428">LP5+1</f>
        <v>67</v>
      </c>
      <c r="LV5" s="79"/>
      <c r="LW5" s="79"/>
      <c r="LX5" s="79"/>
      <c r="LY5" s="79"/>
      <c r="LZ5" s="78">
        <f t="shared" ref="LZ5" si="429">LU5+1</f>
        <v>68</v>
      </c>
      <c r="MA5" s="79"/>
      <c r="MB5" s="79"/>
      <c r="MC5" s="79"/>
      <c r="MD5" s="79"/>
      <c r="ME5" s="78">
        <f t="shared" ref="ME5" si="430">LZ5+1</f>
        <v>69</v>
      </c>
      <c r="MF5" s="79"/>
      <c r="MG5" s="79"/>
      <c r="MH5" s="79"/>
      <c r="MI5" s="79"/>
      <c r="MJ5" s="78">
        <f>ME5+1</f>
        <v>70</v>
      </c>
      <c r="MK5" s="79"/>
      <c r="ML5" s="79"/>
      <c r="MM5" s="79"/>
      <c r="MN5" s="78">
        <f>MJ5+1</f>
        <v>71</v>
      </c>
      <c r="MO5" s="79"/>
      <c r="MP5" s="79"/>
      <c r="MQ5" s="79"/>
      <c r="MR5" s="79"/>
      <c r="MS5" s="78">
        <f>MN5+1</f>
        <v>72</v>
      </c>
      <c r="MT5" s="79"/>
      <c r="MU5" s="79"/>
      <c r="MV5" s="79"/>
      <c r="MW5" s="79"/>
      <c r="MX5" s="78">
        <f t="shared" ref="MX5" si="431">MS5+1</f>
        <v>73</v>
      </c>
      <c r="MY5" s="79"/>
      <c r="MZ5" s="79"/>
      <c r="NA5" s="79"/>
      <c r="NB5" s="79"/>
      <c r="NC5" s="78">
        <f t="shared" ref="NC5" si="432">MX5+1</f>
        <v>74</v>
      </c>
      <c r="ND5" s="79"/>
      <c r="NE5" s="79"/>
      <c r="NF5" s="79"/>
      <c r="NG5" s="79"/>
      <c r="NH5" s="78">
        <f t="shared" ref="NH5" si="433">NC5+1</f>
        <v>75</v>
      </c>
      <c r="NI5" s="79"/>
      <c r="NJ5" s="79"/>
      <c r="NK5" s="79"/>
      <c r="NL5" s="79"/>
      <c r="NM5" s="78">
        <f t="shared" ref="NM5" si="434">NH5+1</f>
        <v>76</v>
      </c>
      <c r="NN5" s="79"/>
      <c r="NO5" s="79"/>
      <c r="NP5" s="79"/>
      <c r="NQ5" s="79"/>
      <c r="NR5" s="78">
        <f t="shared" ref="NR5" si="435">NM5+1</f>
        <v>77</v>
      </c>
      <c r="NS5" s="79"/>
      <c r="NT5" s="79"/>
      <c r="NU5" s="79"/>
      <c r="NV5" s="79"/>
      <c r="NW5" s="78">
        <f t="shared" ref="NW5" si="436">NR5+1</f>
        <v>78</v>
      </c>
      <c r="NX5" s="79"/>
      <c r="NY5" s="79"/>
      <c r="NZ5" s="79"/>
      <c r="OA5" s="79"/>
      <c r="OB5" s="78">
        <f>NW5+1</f>
        <v>79</v>
      </c>
      <c r="OC5" s="79"/>
      <c r="OD5" s="79"/>
      <c r="OE5" s="79"/>
      <c r="OF5" s="79"/>
      <c r="OG5" s="78">
        <f t="shared" ref="OG5" si="437">OB5+1</f>
        <v>80</v>
      </c>
      <c r="OH5" s="79"/>
      <c r="OI5" s="79"/>
      <c r="OJ5" s="79"/>
      <c r="OK5" s="79"/>
      <c r="OL5" s="78">
        <f t="shared" ref="OL5" si="438">OG5+1</f>
        <v>81</v>
      </c>
      <c r="OM5" s="79"/>
      <c r="ON5" s="79"/>
      <c r="OO5" s="79"/>
      <c r="OP5" s="79"/>
      <c r="OQ5" s="78">
        <f t="shared" ref="OQ5" si="439">OL5+1</f>
        <v>82</v>
      </c>
      <c r="OR5" s="79"/>
      <c r="OS5" s="79"/>
      <c r="OT5" s="79"/>
      <c r="OU5" s="79"/>
      <c r="OV5" s="78">
        <f t="shared" ref="OV5" si="440">OQ5+1</f>
        <v>83</v>
      </c>
      <c r="OW5" s="79"/>
      <c r="OX5" s="79"/>
      <c r="OY5" s="79"/>
      <c r="OZ5" s="79"/>
      <c r="PA5" s="78">
        <f t="shared" ref="PA5" si="441">OV5+1</f>
        <v>84</v>
      </c>
      <c r="PB5" s="79"/>
      <c r="PC5" s="79"/>
      <c r="PD5" s="79"/>
      <c r="PE5" s="79"/>
      <c r="PF5" s="78">
        <f t="shared" ref="PF5" si="442">PA5+1</f>
        <v>85</v>
      </c>
      <c r="PG5" s="79"/>
      <c r="PH5" s="79"/>
      <c r="PI5" s="79"/>
      <c r="PJ5" s="79"/>
      <c r="PK5" s="78">
        <f>PF5+1</f>
        <v>86</v>
      </c>
      <c r="PL5" s="79"/>
      <c r="PM5" s="79"/>
      <c r="PN5" s="79"/>
      <c r="PO5" s="45"/>
      <c r="PP5" s="76"/>
      <c r="PQ5" s="76"/>
      <c r="PR5" s="76"/>
      <c r="PS5" s="76"/>
      <c r="PT5" s="76"/>
      <c r="PU5" s="76"/>
      <c r="PV5" s="76"/>
      <c r="PW5" s="76"/>
      <c r="PX5" s="76"/>
      <c r="PY5" s="76"/>
      <c r="PZ5" s="76"/>
      <c r="QA5" s="76"/>
      <c r="QB5" s="76"/>
      <c r="QC5" s="76"/>
      <c r="QD5" s="76"/>
      <c r="QE5" s="76"/>
      <c r="QF5" s="76"/>
      <c r="QG5" s="76"/>
      <c r="QH5" s="76"/>
      <c r="QI5" s="76"/>
      <c r="QJ5" s="76"/>
      <c r="QK5" s="76"/>
      <c r="QL5" s="76"/>
      <c r="QM5" s="76"/>
    </row>
    <row r="6" spans="1:455" ht="32.25" customHeight="1" thickBot="1" x14ac:dyDescent="0.4">
      <c r="A6" s="23" t="s">
        <v>17</v>
      </c>
      <c r="B6" s="19" t="s">
        <v>18</v>
      </c>
      <c r="C6" s="19" t="s">
        <v>252</v>
      </c>
      <c r="D6" s="19" t="s">
        <v>19</v>
      </c>
      <c r="E6" s="20" t="s">
        <v>20</v>
      </c>
      <c r="F6" s="21" t="s">
        <v>425</v>
      </c>
      <c r="G6" s="22" t="s">
        <v>21</v>
      </c>
      <c r="H6" s="18" t="s">
        <v>22</v>
      </c>
      <c r="I6" s="20" t="s">
        <v>259</v>
      </c>
      <c r="J6" s="67" t="s">
        <v>426</v>
      </c>
      <c r="K6" s="20" t="s">
        <v>256</v>
      </c>
      <c r="L6" s="77"/>
    </row>
    <row r="7" spans="1:455" ht="18" customHeight="1" x14ac:dyDescent="0.35">
      <c r="A7" s="47" t="s">
        <v>15</v>
      </c>
      <c r="B7" s="35" t="s">
        <v>16</v>
      </c>
      <c r="C7" s="35"/>
      <c r="D7" s="35"/>
      <c r="E7" s="36"/>
      <c r="F7" s="36"/>
      <c r="G7" s="37"/>
      <c r="H7" s="37"/>
      <c r="I7" s="37" t="str">
        <f>IF(Gantt4567[[#This Row],[Start]]="","-",NETWORKDAYS(Gantt4567[[#This Row],[Start]],Gantt4567[[#This Row],[End]],Holidays))</f>
        <v>-</v>
      </c>
      <c r="J7" s="68"/>
      <c r="K7" s="37">
        <f>IFERROR(Gantt4567[[#This Row],[End]]-Gantt4567[[#This Row],[Start]],0)</f>
        <v>0</v>
      </c>
      <c r="L7" s="77"/>
      <c r="M7" s="4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 s="4"/>
      <c r="BQ7"/>
      <c r="BR7"/>
      <c r="BS7"/>
      <c r="BT7"/>
      <c r="BU7"/>
      <c r="BV7"/>
      <c r="BW7"/>
      <c r="BX7"/>
    </row>
    <row r="8" spans="1:455" x14ac:dyDescent="0.35">
      <c r="A8" s="5" t="s">
        <v>23</v>
      </c>
      <c r="B8" s="39" t="s">
        <v>24</v>
      </c>
      <c r="C8" s="39" t="s">
        <v>255</v>
      </c>
      <c r="D8" s="61">
        <f>D9+D14+D19</f>
        <v>20</v>
      </c>
      <c r="E8" s="60">
        <f>E9</f>
        <v>46069</v>
      </c>
      <c r="F8" s="58">
        <f>F20</f>
        <v>46094</v>
      </c>
      <c r="G8" s="57" t="s">
        <v>25</v>
      </c>
      <c r="H8" s="57" t="str">
        <f t="shared" ref="H8:H13" si="443">A9</f>
        <v>1.1</v>
      </c>
      <c r="I8" s="4">
        <f>IF(Gantt4567[[#This Row],[Start]]="","-",NETWORKDAYS(Gantt4567[[#This Row],[Start]],Gantt4567[[#This Row],[End]],Holidays))</f>
        <v>20</v>
      </c>
      <c r="J8" s="65">
        <v>0</v>
      </c>
      <c r="K8" s="4">
        <f>IFERROR(Gantt4567[[#This Row],[End]]-Gantt4567[[#This Row],[Start]],0)</f>
        <v>25</v>
      </c>
      <c r="L8" s="7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6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</row>
    <row r="9" spans="1:455" x14ac:dyDescent="0.35">
      <c r="A9" s="8" t="s">
        <v>26</v>
      </c>
      <c r="B9" s="1" t="s">
        <v>402</v>
      </c>
      <c r="C9" s="1" t="s">
        <v>253</v>
      </c>
      <c r="D9" s="29">
        <f>SUM(D10:D13)</f>
        <v>10</v>
      </c>
      <c r="E9" s="59">
        <f>B1</f>
        <v>46069</v>
      </c>
      <c r="F9" s="59">
        <f>IF(D9=0,E9,WORKDAY(Gantt4567[[#This Row],[Start]],Gantt4567[[#This Row],[Duration (days)]]-1,Holidays))</f>
        <v>46080</v>
      </c>
      <c r="G9" s="57" t="str">
        <f>A8</f>
        <v>1.0</v>
      </c>
      <c r="H9" s="74" t="str">
        <f t="shared" si="443"/>
        <v>1.1.1</v>
      </c>
      <c r="I9" s="7">
        <f>IF(Gantt4567[[#This Row],[Start]]="","-",NETWORKDAYS(Gantt4567[[#This Row],[Start]],Gantt4567[[#This Row],[End]],Holidays))</f>
        <v>10</v>
      </c>
      <c r="J9" s="64">
        <v>0</v>
      </c>
      <c r="K9" s="7">
        <f>IFERROR(Gantt4567[[#This Row],[End]]-Gantt4567[[#This Row],[Start]],0)</f>
        <v>11</v>
      </c>
      <c r="L9" s="7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6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</row>
    <row r="10" spans="1:455" x14ac:dyDescent="0.35">
      <c r="A10" s="10" t="s">
        <v>27</v>
      </c>
      <c r="B10" s="1" t="s">
        <v>403</v>
      </c>
      <c r="C10" s="1" t="s">
        <v>254</v>
      </c>
      <c r="D10" s="56">
        <v>2</v>
      </c>
      <c r="E10" s="59">
        <f>E9</f>
        <v>46069</v>
      </c>
      <c r="F10" s="59">
        <f>IF(D10=0,E10,WORKDAY(Gantt4567[[#This Row],[Start]],Gantt4567[[#This Row],[Duration (days)]]-1,Holidays))</f>
        <v>46070</v>
      </c>
      <c r="G10" s="57" t="str">
        <f t="shared" ref="G10:G15" si="444">H8</f>
        <v>1.1</v>
      </c>
      <c r="H10" s="57" t="str">
        <f t="shared" si="443"/>
        <v>1.1.2</v>
      </c>
      <c r="I10" s="4">
        <f>IF(Gantt4567[[#This Row],[Start]]="","-",NETWORKDAYS(Gantt4567[[#This Row],[Start]],Gantt4567[[#This Row],[End]],Holidays))</f>
        <v>2</v>
      </c>
      <c r="J10" s="65">
        <v>0</v>
      </c>
      <c r="K10" s="4">
        <f>IFERROR(Gantt4567[[#This Row],[End]]-Gantt4567[[#This Row],[Start]],0)</f>
        <v>1</v>
      </c>
      <c r="L10" s="7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6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</row>
    <row r="11" spans="1:455" x14ac:dyDescent="0.35">
      <c r="A11" s="10" t="s">
        <v>28</v>
      </c>
      <c r="B11" t="s">
        <v>217</v>
      </c>
      <c r="C11" t="s">
        <v>254</v>
      </c>
      <c r="D11" s="56">
        <v>2</v>
      </c>
      <c r="E11" s="59">
        <f>WORKDAY(F10,1,Holidays)</f>
        <v>46071</v>
      </c>
      <c r="F11" s="59">
        <f>IF(D11=0,E11,WORKDAY(Gantt4567[[#This Row],[Start]],Gantt4567[[#This Row],[Duration (days)]]-1,Holidays))</f>
        <v>46072</v>
      </c>
      <c r="G11" s="57" t="str">
        <f t="shared" si="444"/>
        <v>1.1.1</v>
      </c>
      <c r="H11" s="57" t="str">
        <f t="shared" si="443"/>
        <v>1.1.3</v>
      </c>
      <c r="I11" s="4">
        <f>IF(Gantt4567[[#This Row],[Start]]="","-",NETWORKDAYS(Gantt4567[[#This Row],[Start]],Gantt4567[[#This Row],[End]],Holidays))</f>
        <v>2</v>
      </c>
      <c r="J11" s="65">
        <v>0</v>
      </c>
      <c r="K11" s="4">
        <f>IFERROR(Gantt4567[[#This Row],[End]]-Gantt4567[[#This Row],[Start]],0)</f>
        <v>1</v>
      </c>
      <c r="L11" s="7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6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</row>
    <row r="12" spans="1:455" x14ac:dyDescent="0.35">
      <c r="A12" s="11" t="s">
        <v>29</v>
      </c>
      <c r="B12" t="s">
        <v>404</v>
      </c>
      <c r="C12" t="s">
        <v>254</v>
      </c>
      <c r="D12" s="56">
        <v>3</v>
      </c>
      <c r="E12" s="59">
        <f>WORKDAY(F11,1,Holidays)</f>
        <v>46073</v>
      </c>
      <c r="F12" s="59">
        <f>IF(D12=0,E12,WORKDAY(Gantt4567[[#This Row],[Start]],Gantt4567[[#This Row],[Duration (days)]]-1,Holidays))</f>
        <v>46077</v>
      </c>
      <c r="G12" s="57" t="str">
        <f t="shared" si="444"/>
        <v>1.1.2</v>
      </c>
      <c r="H12" s="57" t="str">
        <f t="shared" si="443"/>
        <v>1.1.4</v>
      </c>
      <c r="I12" s="4">
        <f>IF(Gantt4567[[#This Row],[Start]]="","-",NETWORKDAYS(Gantt4567[[#This Row],[Start]],Gantt4567[[#This Row],[End]],Holidays))</f>
        <v>3</v>
      </c>
      <c r="J12" s="65">
        <v>0</v>
      </c>
      <c r="K12" s="4">
        <f>IFERROR(Gantt4567[[#This Row],[End]]-Gantt4567[[#This Row],[Start]],0)</f>
        <v>4</v>
      </c>
      <c r="L12" s="77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6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</row>
    <row r="13" spans="1:455" x14ac:dyDescent="0.35">
      <c r="A13" s="11" t="s">
        <v>30</v>
      </c>
      <c r="B13" t="s">
        <v>218</v>
      </c>
      <c r="C13" t="s">
        <v>254</v>
      </c>
      <c r="D13" s="56">
        <v>3</v>
      </c>
      <c r="E13" s="59">
        <f>WORKDAY(F12,1,Holidays)</f>
        <v>46078</v>
      </c>
      <c r="F13" s="59">
        <f>IF(D13=0,E13,WORKDAY(Gantt4567[[#This Row],[Start]],Gantt4567[[#This Row],[Duration (days)]]-1,Holidays))</f>
        <v>46080</v>
      </c>
      <c r="G13" s="57" t="str">
        <f t="shared" si="444"/>
        <v>1.1.3</v>
      </c>
      <c r="H13" s="57" t="str">
        <f t="shared" si="443"/>
        <v>1.2 </v>
      </c>
      <c r="I13" s="4">
        <f>IF(Gantt4567[[#This Row],[Start]]="","-",NETWORKDAYS(Gantt4567[[#This Row],[Start]],Gantt4567[[#This Row],[End]],Holidays))</f>
        <v>3</v>
      </c>
      <c r="J13" s="65">
        <v>0</v>
      </c>
      <c r="K13" s="4">
        <f>IFERROR(Gantt4567[[#This Row],[End]]-Gantt4567[[#This Row],[Start]],0)</f>
        <v>2</v>
      </c>
      <c r="L13" s="77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6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</row>
    <row r="14" spans="1:455" x14ac:dyDescent="0.35">
      <c r="A14" s="9" t="s">
        <v>31</v>
      </c>
      <c r="B14" t="s">
        <v>405</v>
      </c>
      <c r="C14" t="s">
        <v>253</v>
      </c>
      <c r="D14" s="56">
        <f>MAX(D15:D16)+(SUM(D17:D18))</f>
        <v>6</v>
      </c>
      <c r="E14" s="59">
        <f>WORKDAY(F13,1,Holidays)</f>
        <v>46083</v>
      </c>
      <c r="F14" s="59">
        <f>IF(D14=0,E14,WORKDAY(Gantt4567[[#This Row],[Start]],Gantt4567[[#This Row],[Duration (days)]]-1,Holidays))</f>
        <v>46090</v>
      </c>
      <c r="G14" s="57" t="str">
        <f t="shared" si="444"/>
        <v>1.1.4</v>
      </c>
      <c r="H14" s="57" t="str">
        <f>_xlfn.TEXTJOIN(", ",TRUE,A15:A16)</f>
        <v>1.2.1, 1.2.2</v>
      </c>
      <c r="I14" s="4">
        <f>IF(Gantt4567[[#This Row],[Start]]="","-",NETWORKDAYS(Gantt4567[[#This Row],[Start]],Gantt4567[[#This Row],[End]],Holidays))</f>
        <v>6</v>
      </c>
      <c r="J14" s="65">
        <v>0</v>
      </c>
      <c r="K14" s="4">
        <f>IFERROR(Gantt4567[[#This Row],[End]]-Gantt4567[[#This Row],[Start]],0)</f>
        <v>7</v>
      </c>
      <c r="L14" s="77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6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</row>
    <row r="15" spans="1:455" x14ac:dyDescent="0.35">
      <c r="A15" s="24" t="s">
        <v>32</v>
      </c>
      <c r="B15" t="s">
        <v>219</v>
      </c>
      <c r="C15" t="s">
        <v>254</v>
      </c>
      <c r="D15" s="56">
        <v>2</v>
      </c>
      <c r="E15" s="59">
        <f>E14</f>
        <v>46083</v>
      </c>
      <c r="F15" s="59">
        <f>IF(D15=0,E15,WORKDAY(Gantt4567[[#This Row],[Start]],Gantt4567[[#This Row],[Duration (days)]]-1,Holidays))</f>
        <v>46084</v>
      </c>
      <c r="G15" s="57" t="str">
        <f t="shared" si="444"/>
        <v>1.2 </v>
      </c>
      <c r="H15" s="57" t="str">
        <f>A17</f>
        <v>1.2.3</v>
      </c>
      <c r="I15" s="4">
        <f>IF(Gantt4567[[#This Row],[Start]]="","-",NETWORKDAYS(Gantt4567[[#This Row],[Start]],Gantt4567[[#This Row],[End]],Holidays))</f>
        <v>2</v>
      </c>
      <c r="J15" s="65">
        <v>0</v>
      </c>
      <c r="K15" s="4">
        <f>IFERROR(Gantt4567[[#This Row],[End]]-Gantt4567[[#This Row],[Start]],0)</f>
        <v>1</v>
      </c>
      <c r="L15" s="7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6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</row>
    <row r="16" spans="1:455" x14ac:dyDescent="0.35">
      <c r="A16" s="24" t="s">
        <v>33</v>
      </c>
      <c r="B16" t="s">
        <v>220</v>
      </c>
      <c r="C16" t="s">
        <v>254</v>
      </c>
      <c r="D16" s="56">
        <v>2</v>
      </c>
      <c r="E16" s="59">
        <f>E14</f>
        <v>46083</v>
      </c>
      <c r="F16" s="59">
        <f>IF(D16=0,E16,WORKDAY(Gantt4567[[#This Row],[Start]],Gantt4567[[#This Row],[Duration (days)]]-1,Holidays))</f>
        <v>46084</v>
      </c>
      <c r="G16" s="57" t="str">
        <f>H13</f>
        <v>1.2 </v>
      </c>
      <c r="H16" s="57" t="str">
        <f t="shared" ref="H16:H25" si="445">A17</f>
        <v>1.2.3</v>
      </c>
      <c r="I16" s="4">
        <f>IF(Gantt4567[[#This Row],[Start]]="","-",NETWORKDAYS(Gantt4567[[#This Row],[Start]],Gantt4567[[#This Row],[End]],Holidays))</f>
        <v>2</v>
      </c>
      <c r="J16" s="65">
        <v>0</v>
      </c>
      <c r="K16" s="4">
        <f>IFERROR(Gantt4567[[#This Row],[End]]-Gantt4567[[#This Row],[Start]],0)</f>
        <v>1</v>
      </c>
      <c r="L16" s="7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6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</row>
    <row r="17" spans="1:455" x14ac:dyDescent="0.35">
      <c r="A17" s="11" t="s">
        <v>34</v>
      </c>
      <c r="B17" t="s">
        <v>221</v>
      </c>
      <c r="C17" t="s">
        <v>254</v>
      </c>
      <c r="D17" s="56">
        <v>2</v>
      </c>
      <c r="E17" s="59">
        <f>WORKDAY(F15,1,Holidays)</f>
        <v>46085</v>
      </c>
      <c r="F17" s="59">
        <f>IF(D17=0,E17,WORKDAY(Gantt4567[[#This Row],[Start]],Gantt4567[[#This Row],[Duration (days)]]-1,Holidays))</f>
        <v>46086</v>
      </c>
      <c r="G17" s="57" t="str">
        <f>H14</f>
        <v>1.2.1, 1.2.2</v>
      </c>
      <c r="H17" s="57" t="str">
        <f t="shared" si="445"/>
        <v>1.2.4</v>
      </c>
      <c r="I17" s="4">
        <f>IF(Gantt4567[[#This Row],[Start]]="","-",NETWORKDAYS(Gantt4567[[#This Row],[Start]],Gantt4567[[#This Row],[End]],Holidays))</f>
        <v>2</v>
      </c>
      <c r="J17" s="65">
        <v>0</v>
      </c>
      <c r="K17" s="4">
        <f>IFERROR(Gantt4567[[#This Row],[End]]-Gantt4567[[#This Row],[Start]],0)</f>
        <v>1</v>
      </c>
      <c r="L17" s="7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6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</row>
    <row r="18" spans="1:455" x14ac:dyDescent="0.35">
      <c r="A18" s="11" t="s">
        <v>35</v>
      </c>
      <c r="B18" t="s">
        <v>406</v>
      </c>
      <c r="C18" t="s">
        <v>254</v>
      </c>
      <c r="D18" s="56">
        <v>2</v>
      </c>
      <c r="E18" s="59">
        <f>WORKDAY(F17,1,Holidays)</f>
        <v>46087</v>
      </c>
      <c r="F18" s="59">
        <f>IF(D18=0,E18,WORKDAY(Gantt4567[[#This Row],[Start]],Gantt4567[[#This Row],[Duration (days)]]-1,Holidays))</f>
        <v>46090</v>
      </c>
      <c r="G18" s="57" t="str">
        <f>H15</f>
        <v>1.2.3</v>
      </c>
      <c r="H18" s="57" t="str">
        <f t="shared" si="445"/>
        <v>1.3</v>
      </c>
      <c r="I18" s="4">
        <f>IF(Gantt4567[[#This Row],[Start]]="","-",NETWORKDAYS(Gantt4567[[#This Row],[Start]],Gantt4567[[#This Row],[End]],Holidays))</f>
        <v>2</v>
      </c>
      <c r="J18" s="65">
        <v>0</v>
      </c>
      <c r="K18" s="4">
        <f>IFERROR(Gantt4567[[#This Row],[End]]-Gantt4567[[#This Row],[Start]],0)</f>
        <v>3</v>
      </c>
      <c r="L18" s="7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6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</row>
    <row r="19" spans="1:455" x14ac:dyDescent="0.35">
      <c r="A19" s="9" t="s">
        <v>36</v>
      </c>
      <c r="B19" t="s">
        <v>407</v>
      </c>
      <c r="C19" t="s">
        <v>253</v>
      </c>
      <c r="D19" s="56">
        <v>4</v>
      </c>
      <c r="E19" s="59">
        <f>WORKDAY(F18,1,Holidays)</f>
        <v>46091</v>
      </c>
      <c r="F19" s="59">
        <f>IF(D19=0,E19,WORKDAY(Gantt4567[[#This Row],[Start]],Gantt4567[[#This Row],[Duration (days)]]-1,Holidays))</f>
        <v>46094</v>
      </c>
      <c r="G19" s="57" t="str">
        <f>H17</f>
        <v>1.2.4</v>
      </c>
      <c r="H19" s="57" t="str">
        <f t="shared" si="445"/>
        <v>1.4</v>
      </c>
      <c r="I19" s="4">
        <f>IF(Gantt4567[[#This Row],[Start]]="","-",NETWORKDAYS(Gantt4567[[#This Row],[Start]],Gantt4567[[#This Row],[End]],Holidays))</f>
        <v>4</v>
      </c>
      <c r="J19" s="65">
        <v>0</v>
      </c>
      <c r="K19" s="4">
        <f>IFERROR(Gantt4567[[#This Row],[End]]-Gantt4567[[#This Row],[Start]],0)</f>
        <v>3</v>
      </c>
      <c r="L19" s="77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6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</row>
    <row r="20" spans="1:455" x14ac:dyDescent="0.35">
      <c r="A20" s="41" t="s">
        <v>37</v>
      </c>
      <c r="B20" s="38" t="s">
        <v>408</v>
      </c>
      <c r="C20" s="38" t="s">
        <v>257</v>
      </c>
      <c r="D20" s="56">
        <v>0</v>
      </c>
      <c r="E20" s="59">
        <f>F19</f>
        <v>46094</v>
      </c>
      <c r="F20" s="59">
        <f>IF(D20=0,E20,WORKDAY(Gantt4567[[#This Row],[Start]],Gantt4567[[#This Row],[Duration (days)]]-1,Holidays))</f>
        <v>46094</v>
      </c>
      <c r="G20" s="57" t="str">
        <f>H18</f>
        <v>1.3</v>
      </c>
      <c r="H20" s="57" t="str">
        <f t="shared" si="445"/>
        <v>2.0 </v>
      </c>
      <c r="I20" s="4">
        <v>0</v>
      </c>
      <c r="J20" s="65">
        <v>0</v>
      </c>
      <c r="K20" s="4">
        <f>IFERROR(Gantt4567[[#This Row],[End]]-Gantt4567[[#This Row],[Start]],0)</f>
        <v>0</v>
      </c>
      <c r="L20" s="7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6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</row>
    <row r="21" spans="1:455" x14ac:dyDescent="0.35">
      <c r="A21" s="6" t="s">
        <v>38</v>
      </c>
      <c r="B21" s="5" t="s">
        <v>385</v>
      </c>
      <c r="C21" s="5" t="s">
        <v>255</v>
      </c>
      <c r="D21" s="61">
        <f>D22+D26+D29+SUM(D34:D38)+D41</f>
        <v>48</v>
      </c>
      <c r="E21" s="58">
        <f>WORKDAY(F8,1,Holidays)</f>
        <v>46097</v>
      </c>
      <c r="F21" s="58">
        <f>F42</f>
        <v>46164</v>
      </c>
      <c r="G21" s="57" t="str">
        <f>H19</f>
        <v>1.4</v>
      </c>
      <c r="H21" s="57" t="str">
        <f t="shared" si="445"/>
        <v>2.1</v>
      </c>
      <c r="I21" s="4">
        <f>IF(Gantt4567[[#This Row],[Start]]="","-",NETWORKDAYS(Gantt4567[[#This Row],[Start]],Gantt4567[[#This Row],[End]],Holidays))</f>
        <v>48</v>
      </c>
      <c r="J21" s="65">
        <v>0</v>
      </c>
      <c r="K21" s="4">
        <f>IFERROR(Gantt4567[[#This Row],[End]]-Gantt4567[[#This Row],[Start]],0)</f>
        <v>67</v>
      </c>
      <c r="L21" s="7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6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</row>
    <row r="22" spans="1:455" x14ac:dyDescent="0.35">
      <c r="A22" s="9" t="s">
        <v>39</v>
      </c>
      <c r="B22" t="s">
        <v>430</v>
      </c>
      <c r="C22" t="s">
        <v>253</v>
      </c>
      <c r="D22" s="29">
        <f>SUM(D23:D25)</f>
        <v>7</v>
      </c>
      <c r="E22" s="59">
        <f>E21</f>
        <v>46097</v>
      </c>
      <c r="F22" s="59">
        <f>IF(D22=0,E22,WORKDAY(Gantt4567[[#This Row],[Start]],Gantt4567[[#This Row],[Duration (days)]]-1,Holidays))</f>
        <v>46105</v>
      </c>
      <c r="G22" s="57" t="str">
        <f t="shared" ref="G22:G26" si="446">H20</f>
        <v>2.0 </v>
      </c>
      <c r="H22" s="57" t="str">
        <f t="shared" si="445"/>
        <v>2.1.1</v>
      </c>
      <c r="I22" s="4">
        <f>IF(Gantt4567[[#This Row],[Start]]="","-",NETWORKDAYS(Gantt4567[[#This Row],[Start]],Gantt4567[[#This Row],[End]],Holidays))</f>
        <v>7</v>
      </c>
      <c r="J22" s="65">
        <v>0</v>
      </c>
      <c r="K22" s="4">
        <f>IFERROR(Gantt4567[[#This Row],[End]]-Gantt4567[[#This Row],[Start]],0)</f>
        <v>8</v>
      </c>
      <c r="L22" s="7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6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</row>
    <row r="23" spans="1:455" x14ac:dyDescent="0.35">
      <c r="A23" s="11" t="s">
        <v>40</v>
      </c>
      <c r="B23" t="s">
        <v>222</v>
      </c>
      <c r="C23" t="s">
        <v>254</v>
      </c>
      <c r="D23" s="56">
        <v>3</v>
      </c>
      <c r="E23" s="59">
        <f>E22</f>
        <v>46097</v>
      </c>
      <c r="F23" s="59">
        <f>IF(D23=0,E23,WORKDAY(Gantt4567[[#This Row],[Start]],Gantt4567[[#This Row],[Duration (days)]]-1,Holidays))</f>
        <v>46099</v>
      </c>
      <c r="G23" s="57" t="str">
        <f t="shared" si="446"/>
        <v>2.1</v>
      </c>
      <c r="H23" s="57" t="str">
        <f t="shared" si="445"/>
        <v>2.1.2</v>
      </c>
      <c r="I23" s="4">
        <f>IF(Gantt4567[[#This Row],[Start]]="","-",NETWORKDAYS(Gantt4567[[#This Row],[Start]],Gantt4567[[#This Row],[End]],Holidays))</f>
        <v>3</v>
      </c>
      <c r="J23" s="65">
        <v>0</v>
      </c>
      <c r="K23" s="4">
        <f>IFERROR(Gantt4567[[#This Row],[End]]-Gantt4567[[#This Row],[Start]],0)</f>
        <v>2</v>
      </c>
      <c r="L23" s="7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6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</row>
    <row r="24" spans="1:455" x14ac:dyDescent="0.35">
      <c r="A24" s="11" t="s">
        <v>41</v>
      </c>
      <c r="B24" t="s">
        <v>223</v>
      </c>
      <c r="C24" t="s">
        <v>254</v>
      </c>
      <c r="D24" s="56">
        <v>2</v>
      </c>
      <c r="E24" s="59">
        <f>WORKDAY(F23,1,Holidays)</f>
        <v>46100</v>
      </c>
      <c r="F24" s="59">
        <f>IF(D24=0,E23,WORKDAY(Gantt4567[[#This Row],[Start]],Gantt4567[[#This Row],[Duration (days)]]-1,Holidays))</f>
        <v>46101</v>
      </c>
      <c r="G24" s="57" t="str">
        <f t="shared" si="446"/>
        <v>2.1.1</v>
      </c>
      <c r="H24" s="57" t="str">
        <f t="shared" si="445"/>
        <v>2.1.3</v>
      </c>
      <c r="I24" s="4">
        <f>IF(Gantt4567[[#This Row],[Start]]="","-",NETWORKDAYS(Gantt4567[[#This Row],[Start]],Gantt4567[[#This Row],[End]],Holidays))</f>
        <v>2</v>
      </c>
      <c r="J24" s="65">
        <v>0</v>
      </c>
      <c r="K24" s="4">
        <f>IFERROR(Gantt4567[[#This Row],[End]]-Gantt4567[[#This Row],[Start]],0)</f>
        <v>1</v>
      </c>
      <c r="L24" s="77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6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</row>
    <row r="25" spans="1:455" x14ac:dyDescent="0.35">
      <c r="A25" s="11" t="s">
        <v>42</v>
      </c>
      <c r="B25" t="s">
        <v>386</v>
      </c>
      <c r="C25" t="s">
        <v>254</v>
      </c>
      <c r="D25" s="56">
        <v>2</v>
      </c>
      <c r="E25" s="59">
        <f>WORKDAY(F24,1,Holidays)</f>
        <v>46104</v>
      </c>
      <c r="F25" s="59">
        <f>IF(D25=0,E25,WORKDAY(Gantt4567[[#This Row],[Start]],Gantt4567[[#This Row],[Duration (days)]]-1,Holidays))</f>
        <v>46105</v>
      </c>
      <c r="G25" s="57" t="str">
        <f t="shared" si="446"/>
        <v>2.1.2</v>
      </c>
      <c r="H25" s="57" t="str">
        <f t="shared" si="445"/>
        <v>2.2</v>
      </c>
      <c r="I25" s="4">
        <f>IF(Gantt4567[[#This Row],[Start]]="","-",NETWORKDAYS(Gantt4567[[#This Row],[Start]],Gantt4567[[#This Row],[End]],Holidays))</f>
        <v>2</v>
      </c>
      <c r="J25" s="65">
        <v>0</v>
      </c>
      <c r="K25" s="4">
        <f>IFERROR(Gantt4567[[#This Row],[End]]-Gantt4567[[#This Row],[Start]],0)</f>
        <v>1</v>
      </c>
      <c r="L25" s="7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6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</row>
    <row r="26" spans="1:455" x14ac:dyDescent="0.35">
      <c r="A26" s="9" t="s">
        <v>43</v>
      </c>
      <c r="B26" t="s">
        <v>387</v>
      </c>
      <c r="C26" t="s">
        <v>253</v>
      </c>
      <c r="D26" s="29">
        <f>MAX(D27:D28)</f>
        <v>6</v>
      </c>
      <c r="E26" s="59">
        <f>WORKDAY(F25,1,Holidays)</f>
        <v>46106</v>
      </c>
      <c r="F26" s="59">
        <f>IF(D26=0,E26,WORKDAY(Gantt4567[[#This Row],[Start]],Gantt4567[[#This Row],[Duration (days)]]-1,Holidays))</f>
        <v>46113</v>
      </c>
      <c r="G26" s="57" t="str">
        <f t="shared" si="446"/>
        <v>2.1.3</v>
      </c>
      <c r="H26" s="74" t="str">
        <f>_xlfn.TEXTJOIN(", ",TRUE,A27:A28)</f>
        <v>2.2.1, 2.2.2</v>
      </c>
      <c r="I26" s="7">
        <f>IF(Gantt4567[[#This Row],[Start]]="","-",NETWORKDAYS(Gantt4567[[#This Row],[Start]],Gantt4567[[#This Row],[End]],Holidays))</f>
        <v>6</v>
      </c>
      <c r="J26" s="64">
        <v>0</v>
      </c>
      <c r="K26" s="7">
        <f>IFERROR(Gantt4567[[#This Row],[End]]-Gantt4567[[#This Row],[Start]],0)</f>
        <v>7</v>
      </c>
      <c r="L26" s="77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6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</row>
    <row r="27" spans="1:455" x14ac:dyDescent="0.35">
      <c r="A27" s="24" t="s">
        <v>44</v>
      </c>
      <c r="B27" t="s">
        <v>388</v>
      </c>
      <c r="C27" t="s">
        <v>254</v>
      </c>
      <c r="D27" s="56">
        <v>6</v>
      </c>
      <c r="E27" s="59">
        <f>E26</f>
        <v>46106</v>
      </c>
      <c r="F27" s="59">
        <f>IF(D27=0,E27,WORKDAY(Gantt4567[[#This Row],[Start]],Gantt4567[[#This Row],[Duration (days)]]-1,Holidays))</f>
        <v>46113</v>
      </c>
      <c r="G27" s="57" t="str">
        <f>H25</f>
        <v>2.2</v>
      </c>
      <c r="H27" s="57" t="str">
        <f>A29</f>
        <v>2.3</v>
      </c>
      <c r="I27" s="4">
        <f>IF(Gantt4567[[#This Row],[Start]]="","-",NETWORKDAYS(Gantt4567[[#This Row],[Start]],Gantt4567[[#This Row],[End]],Holidays))</f>
        <v>6</v>
      </c>
      <c r="J27" s="65">
        <v>0</v>
      </c>
      <c r="K27" s="4">
        <f>IFERROR(Gantt4567[[#This Row],[End]]-Gantt4567[[#This Row],[Start]],0)</f>
        <v>7</v>
      </c>
      <c r="L27" s="77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6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</row>
    <row r="28" spans="1:455" x14ac:dyDescent="0.35">
      <c r="A28" s="24" t="s">
        <v>45</v>
      </c>
      <c r="B28" t="s">
        <v>389</v>
      </c>
      <c r="C28" t="s">
        <v>254</v>
      </c>
      <c r="D28" s="56">
        <v>4</v>
      </c>
      <c r="E28" s="59">
        <f>E26</f>
        <v>46106</v>
      </c>
      <c r="F28" s="59">
        <f>IF(D28=0,E28,WORKDAY(Gantt4567[[#This Row],[Start]],Gantt4567[[#This Row],[Duration (days)]]-1,Holidays))</f>
        <v>46111</v>
      </c>
      <c r="G28" s="57" t="str">
        <f>H25</f>
        <v>2.2</v>
      </c>
      <c r="H28" s="57" t="str">
        <f t="shared" ref="H28:H37" si="447">A29</f>
        <v>2.3</v>
      </c>
      <c r="I28" s="4">
        <f>IF(Gantt4567[[#This Row],[Start]]="","-",NETWORKDAYS(Gantt4567[[#This Row],[Start]],Gantt4567[[#This Row],[End]],Holidays))</f>
        <v>4</v>
      </c>
      <c r="K28" s="4">
        <f>IFERROR(Gantt4567[[#This Row],[End]]-Gantt4567[[#This Row],[Start]],0)</f>
        <v>5</v>
      </c>
      <c r="L28" s="7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6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</row>
    <row r="29" spans="1:455" x14ac:dyDescent="0.35">
      <c r="A29" s="9" t="s">
        <v>46</v>
      </c>
      <c r="B29" t="s">
        <v>390</v>
      </c>
      <c r="C29" t="s">
        <v>253</v>
      </c>
      <c r="D29" s="29">
        <f>SUM(D30:D33)</f>
        <v>14</v>
      </c>
      <c r="E29" s="59">
        <f>WORKDAY(F26,1,Holidays)</f>
        <v>46114</v>
      </c>
      <c r="F29" s="59">
        <f>IF(D29=0,E29,WORKDAY(Gantt4567[[#This Row],[Start]],Gantt4567[[#This Row],[Duration (days)]]-1,Holidays))</f>
        <v>46135</v>
      </c>
      <c r="G29" s="57" t="str">
        <f>H26</f>
        <v>2.2.1, 2.2.2</v>
      </c>
      <c r="H29" s="57" t="str">
        <f t="shared" si="447"/>
        <v>2.3.1</v>
      </c>
      <c r="I29" s="4">
        <f>IF(Gantt4567[[#This Row],[Start]]="","-",NETWORKDAYS(Gantt4567[[#This Row],[Start]],Gantt4567[[#This Row],[End]],Holidays))</f>
        <v>14</v>
      </c>
      <c r="J29" s="65">
        <v>0</v>
      </c>
      <c r="K29" s="4">
        <f>IFERROR(Gantt4567[[#This Row],[End]]-Gantt4567[[#This Row],[Start]],0)</f>
        <v>21</v>
      </c>
      <c r="L29" s="77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6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</row>
    <row r="30" spans="1:455" x14ac:dyDescent="0.35">
      <c r="A30" s="11" t="s">
        <v>47</v>
      </c>
      <c r="B30" t="s">
        <v>224</v>
      </c>
      <c r="C30" t="s">
        <v>254</v>
      </c>
      <c r="D30" s="56">
        <v>4</v>
      </c>
      <c r="E30" s="59">
        <f>E29</f>
        <v>46114</v>
      </c>
      <c r="F30" s="59">
        <f>IF(D30=0,E30,WORKDAY(Gantt4567[[#This Row],[Start]],Gantt4567[[#This Row],[Duration (days)]]-1,Holidays))</f>
        <v>46121</v>
      </c>
      <c r="G30" s="57" t="str">
        <f>H27</f>
        <v>2.3</v>
      </c>
      <c r="H30" s="57" t="str">
        <f t="shared" si="447"/>
        <v>2.3.2</v>
      </c>
      <c r="I30" s="4">
        <f>IF(Gantt4567[[#This Row],[Start]]="","-",NETWORKDAYS(Gantt4567[[#This Row],[Start]],Gantt4567[[#This Row],[End]],Holidays))</f>
        <v>4</v>
      </c>
      <c r="J30" s="65">
        <v>0</v>
      </c>
      <c r="K30" s="4">
        <f>IFERROR(Gantt4567[[#This Row],[End]]-Gantt4567[[#This Row],[Start]],0)</f>
        <v>7</v>
      </c>
      <c r="L30" s="77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6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</row>
    <row r="31" spans="1:455" x14ac:dyDescent="0.35">
      <c r="A31" s="11" t="s">
        <v>48</v>
      </c>
      <c r="B31" t="s">
        <v>391</v>
      </c>
      <c r="C31" t="s">
        <v>254</v>
      </c>
      <c r="D31" s="56">
        <v>4</v>
      </c>
      <c r="E31" s="59">
        <f t="shared" ref="E31:E38" si="448">WORKDAY(F30,1,Holidays)</f>
        <v>46122</v>
      </c>
      <c r="F31" s="59">
        <f>IF(D31=0,E31,WORKDAY(Gantt4567[[#This Row],[Start]],Gantt4567[[#This Row],[Duration (days)]]-1,Holidays))</f>
        <v>46127</v>
      </c>
      <c r="G31" s="57" t="str">
        <f>H29</f>
        <v>2.3.1</v>
      </c>
      <c r="H31" s="57" t="str">
        <f t="shared" si="447"/>
        <v>2.3.3</v>
      </c>
      <c r="I31" s="4">
        <f>IF(Gantt4567[[#This Row],[Start]]="","-",NETWORKDAYS(Gantt4567[[#This Row],[Start]],Gantt4567[[#This Row],[End]],Holidays))</f>
        <v>4</v>
      </c>
      <c r="J31" s="65">
        <v>0</v>
      </c>
      <c r="K31" s="4">
        <f>IFERROR(Gantt4567[[#This Row],[End]]-Gantt4567[[#This Row],[Start]],0)</f>
        <v>5</v>
      </c>
      <c r="L31" s="7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6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</row>
    <row r="32" spans="1:455" x14ac:dyDescent="0.35">
      <c r="A32" s="11" t="s">
        <v>49</v>
      </c>
      <c r="B32" t="s">
        <v>392</v>
      </c>
      <c r="C32" t="s">
        <v>254</v>
      </c>
      <c r="D32" s="56">
        <v>4</v>
      </c>
      <c r="E32" s="59">
        <f t="shared" si="448"/>
        <v>46128</v>
      </c>
      <c r="F32" s="59">
        <f>IF(D32=0,E32,WORKDAY(Gantt4567[[#This Row],[Start]],Gantt4567[[#This Row],[Duration (days)]]-1,Holidays))</f>
        <v>46133</v>
      </c>
      <c r="G32" s="57" t="str">
        <f>H30</f>
        <v>2.3.2</v>
      </c>
      <c r="H32" s="57" t="str">
        <f t="shared" si="447"/>
        <v>2.3.4</v>
      </c>
      <c r="I32" s="4">
        <f>IF(Gantt4567[[#This Row],[Start]]="","-",NETWORKDAYS(Gantt4567[[#This Row],[Start]],Gantt4567[[#This Row],[End]],Holidays))</f>
        <v>4</v>
      </c>
      <c r="J32" s="65">
        <v>0</v>
      </c>
      <c r="K32" s="4">
        <f>IFERROR(Gantt4567[[#This Row],[End]]-Gantt4567[[#This Row],[Start]],0)</f>
        <v>5</v>
      </c>
      <c r="L32" s="7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6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</row>
    <row r="33" spans="1:455" x14ac:dyDescent="0.35">
      <c r="A33" s="11" t="s">
        <v>50</v>
      </c>
      <c r="B33" t="s">
        <v>393</v>
      </c>
      <c r="C33" t="s">
        <v>254</v>
      </c>
      <c r="D33" s="56">
        <v>2</v>
      </c>
      <c r="E33" s="59">
        <f t="shared" si="448"/>
        <v>46134</v>
      </c>
      <c r="F33" s="59">
        <f>IF(D33=0,E33,WORKDAY(Gantt4567[[#This Row],[Start]],Gantt4567[[#This Row],[Duration (days)]]-1,Holidays))</f>
        <v>46135</v>
      </c>
      <c r="G33" s="57" t="str">
        <f>H31</f>
        <v>2.3.3</v>
      </c>
      <c r="H33" s="57" t="str">
        <f t="shared" si="447"/>
        <v>2.4</v>
      </c>
      <c r="I33" s="4">
        <f>IF(Gantt4567[[#This Row],[Start]]="","-",NETWORKDAYS(Gantt4567[[#This Row],[Start]],Gantt4567[[#This Row],[End]],Holidays))</f>
        <v>2</v>
      </c>
      <c r="J33" s="65">
        <v>0</v>
      </c>
      <c r="K33" s="4">
        <f>IFERROR(Gantt4567[[#This Row],[End]]-Gantt4567[[#This Row],[Start]],0)</f>
        <v>1</v>
      </c>
      <c r="L33" s="77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6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</row>
    <row r="34" spans="1:455" x14ac:dyDescent="0.35">
      <c r="A34" s="9" t="s">
        <v>51</v>
      </c>
      <c r="B34" t="s">
        <v>394</v>
      </c>
      <c r="C34" t="s">
        <v>253</v>
      </c>
      <c r="D34" s="62">
        <v>2</v>
      </c>
      <c r="E34" s="59">
        <f t="shared" si="448"/>
        <v>46136</v>
      </c>
      <c r="F34" s="59">
        <f>IF(D34=0,E34,WORKDAY(Gantt4567[[#This Row],[Start]],Gantt4567[[#This Row],[Duration (days)]]-1,Holidays))</f>
        <v>46139</v>
      </c>
      <c r="G34" s="57" t="str">
        <f t="shared" ref="G34:G38" si="449">H32</f>
        <v>2.3.4</v>
      </c>
      <c r="H34" s="57" t="str">
        <f t="shared" si="447"/>
        <v>2.5</v>
      </c>
      <c r="I34" s="4">
        <f>IF(Gantt4567[[#This Row],[Start]]="","-",NETWORKDAYS(Gantt4567[[#This Row],[Start]],Gantt4567[[#This Row],[End]],Holidays))</f>
        <v>2</v>
      </c>
      <c r="J34" s="65">
        <v>0</v>
      </c>
      <c r="K34" s="4">
        <f>IFERROR(Gantt4567[[#This Row],[End]]-Gantt4567[[#This Row],[Start]],0)</f>
        <v>3</v>
      </c>
      <c r="L34" s="7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6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</row>
    <row r="35" spans="1:455" x14ac:dyDescent="0.35">
      <c r="A35" s="9" t="s">
        <v>52</v>
      </c>
      <c r="B35" t="s">
        <v>395</v>
      </c>
      <c r="C35" t="s">
        <v>253</v>
      </c>
      <c r="D35" s="62">
        <v>4</v>
      </c>
      <c r="E35" s="59">
        <f t="shared" si="448"/>
        <v>46140</v>
      </c>
      <c r="F35" s="59">
        <f>IF(D35=0,E35,WORKDAY(Gantt4567[[#This Row],[Start]],Gantt4567[[#This Row],[Duration (days)]]-1,Holidays))</f>
        <v>46143</v>
      </c>
      <c r="G35" s="57" t="str">
        <f t="shared" si="449"/>
        <v>2.4</v>
      </c>
      <c r="H35" s="57" t="str">
        <f t="shared" si="447"/>
        <v>2.6</v>
      </c>
      <c r="I35" s="4">
        <f>IF(Gantt4567[[#This Row],[Start]]="","-",NETWORKDAYS(Gantt4567[[#This Row],[Start]],Gantt4567[[#This Row],[End]],Holidays))</f>
        <v>4</v>
      </c>
      <c r="J35" s="65">
        <v>0</v>
      </c>
      <c r="K35" s="4">
        <f>IFERROR(Gantt4567[[#This Row],[End]]-Gantt4567[[#This Row],[Start]],0)</f>
        <v>3</v>
      </c>
      <c r="L35" s="7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6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</row>
    <row r="36" spans="1:455" x14ac:dyDescent="0.35">
      <c r="A36" s="9" t="s">
        <v>53</v>
      </c>
      <c r="B36" t="s">
        <v>396</v>
      </c>
      <c r="C36" t="s">
        <v>253</v>
      </c>
      <c r="D36" s="62">
        <v>2</v>
      </c>
      <c r="E36" s="59">
        <f t="shared" si="448"/>
        <v>46146</v>
      </c>
      <c r="F36" s="59">
        <f>IF(D36=0,E36,WORKDAY(Gantt4567[[#This Row],[Start]],Gantt4567[[#This Row],[Duration (days)]]-1,Holidays))</f>
        <v>46147</v>
      </c>
      <c r="G36" s="57" t="str">
        <f t="shared" si="449"/>
        <v>2.5</v>
      </c>
      <c r="H36" s="57" t="str">
        <f t="shared" si="447"/>
        <v>2.7</v>
      </c>
      <c r="I36" s="4">
        <f>IF(Gantt4567[[#This Row],[Start]]="","-",NETWORKDAYS(Gantt4567[[#This Row],[Start]],Gantt4567[[#This Row],[End]],Holidays))</f>
        <v>2</v>
      </c>
      <c r="J36" s="65">
        <v>0</v>
      </c>
      <c r="K36" s="4">
        <f>IFERROR(Gantt4567[[#This Row],[End]]-Gantt4567[[#This Row],[Start]],0)</f>
        <v>1</v>
      </c>
      <c r="L36" s="77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6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</row>
    <row r="37" spans="1:455" x14ac:dyDescent="0.35">
      <c r="A37" s="9" t="s">
        <v>54</v>
      </c>
      <c r="B37" t="s">
        <v>397</v>
      </c>
      <c r="C37" t="s">
        <v>253</v>
      </c>
      <c r="D37" s="62">
        <v>4</v>
      </c>
      <c r="E37" s="59">
        <f t="shared" si="448"/>
        <v>46148</v>
      </c>
      <c r="F37" s="59">
        <f>IF(D37=0,E37,WORKDAY(Gantt4567[[#This Row],[Start]],Gantt4567[[#This Row],[Duration (days)]]-1,Holidays))</f>
        <v>46153</v>
      </c>
      <c r="G37" s="57" t="str">
        <f t="shared" si="449"/>
        <v>2.6</v>
      </c>
      <c r="H37" s="57" t="str">
        <f t="shared" si="447"/>
        <v>2.8</v>
      </c>
      <c r="I37" s="4">
        <f>IF(Gantt4567[[#This Row],[Start]]="","-",NETWORKDAYS(Gantt4567[[#This Row],[Start]],Gantt4567[[#This Row],[End]],Holidays))</f>
        <v>4</v>
      </c>
      <c r="J37" s="65">
        <v>0</v>
      </c>
      <c r="K37" s="4">
        <f>IFERROR(Gantt4567[[#This Row],[End]]-Gantt4567[[#This Row],[Start]],0)</f>
        <v>5</v>
      </c>
      <c r="L37" s="77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6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</row>
    <row r="38" spans="1:455" x14ac:dyDescent="0.35">
      <c r="A38" s="9" t="s">
        <v>55</v>
      </c>
      <c r="B38" t="s">
        <v>398</v>
      </c>
      <c r="C38" t="s">
        <v>253</v>
      </c>
      <c r="D38" s="29">
        <f>MAX(D39:D40)</f>
        <v>6</v>
      </c>
      <c r="E38" s="59">
        <f t="shared" si="448"/>
        <v>46154</v>
      </c>
      <c r="F38" s="59">
        <f>IF(D38=0,E38,WORKDAY(Gantt4567[[#This Row],[Start]],Gantt4567[[#This Row],[Duration (days)]]-1,Holidays))</f>
        <v>46161</v>
      </c>
      <c r="G38" s="57" t="str">
        <f t="shared" si="449"/>
        <v>2.7</v>
      </c>
      <c r="H38" s="57" t="str">
        <f>_xlfn.TEXTJOIN(", ",TRUE,A39:A40)</f>
        <v>2.8.1, 2.8.2</v>
      </c>
      <c r="I38" s="4">
        <f>IF(Gantt4567[[#This Row],[Start]]="","-",NETWORKDAYS(Gantt4567[[#This Row],[Start]],Gantt4567[[#This Row],[End]],Holidays))</f>
        <v>6</v>
      </c>
      <c r="J38" s="65">
        <v>0</v>
      </c>
      <c r="K38" s="4">
        <f>IFERROR(Gantt4567[[#This Row],[End]]-Gantt4567[[#This Row],[Start]],0)</f>
        <v>7</v>
      </c>
      <c r="L38" s="77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6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</row>
    <row r="39" spans="1:455" x14ac:dyDescent="0.35">
      <c r="A39" s="11" t="s">
        <v>56</v>
      </c>
      <c r="B39" t="s">
        <v>399</v>
      </c>
      <c r="C39" t="s">
        <v>254</v>
      </c>
      <c r="D39" s="56">
        <v>4</v>
      </c>
      <c r="E39" s="59">
        <f>E38</f>
        <v>46154</v>
      </c>
      <c r="F39" s="59">
        <f>IF(D40=0,E39,WORKDAY(Gantt4567[[#This Row],[Start]],Gantt4567[[#This Row],[Duration (days)]]-1,Holidays))</f>
        <v>46157</v>
      </c>
      <c r="G39" s="57" t="str">
        <f>H37</f>
        <v>2.8</v>
      </c>
      <c r="H39" s="57" t="str">
        <f>A41</f>
        <v>2.9</v>
      </c>
      <c r="I39" s="4">
        <f>IF(Gantt4567[[#This Row],[Start]]="","-",NETWORKDAYS(Gantt4567[[#This Row],[Start]],Gantt4567[[#This Row],[End]],Holidays))</f>
        <v>4</v>
      </c>
      <c r="K39" s="4">
        <f>IFERROR(Gantt4567[[#This Row],[End]]-Gantt4567[[#This Row],[Start]],0)</f>
        <v>3</v>
      </c>
      <c r="L39" s="7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6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</row>
    <row r="40" spans="1:455" x14ac:dyDescent="0.35">
      <c r="A40" s="11" t="s">
        <v>57</v>
      </c>
      <c r="B40" t="s">
        <v>400</v>
      </c>
      <c r="C40" t="s">
        <v>254</v>
      </c>
      <c r="D40" s="56">
        <v>6</v>
      </c>
      <c r="E40" s="59">
        <f>E39</f>
        <v>46154</v>
      </c>
      <c r="F40" s="59">
        <f>IF(D40=0,E40,WORKDAY(Gantt4567[[#This Row],[Start]],Gantt4567[[#This Row],[Duration (days)]]-1,Holidays))</f>
        <v>46161</v>
      </c>
      <c r="G40" s="57" t="str">
        <f>H37</f>
        <v>2.8</v>
      </c>
      <c r="H40" s="57" t="str">
        <f>A41</f>
        <v>2.9</v>
      </c>
      <c r="I40" s="4">
        <f>IF(Gantt4567[[#This Row],[Start]]="","-",NETWORKDAYS(Gantt4567[[#This Row],[Start]],Gantt4567[[#This Row],[End]],Holidays))</f>
        <v>6</v>
      </c>
      <c r="J40" s="65">
        <v>0</v>
      </c>
      <c r="K40" s="4">
        <f>IFERROR(Gantt4567[[#This Row],[End]]-Gantt4567[[#This Row],[Start]],0)</f>
        <v>7</v>
      </c>
      <c r="L40" s="7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6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</row>
    <row r="41" spans="1:455" x14ac:dyDescent="0.35">
      <c r="A41" s="9" t="s">
        <v>58</v>
      </c>
      <c r="B41" t="s">
        <v>401</v>
      </c>
      <c r="C41" t="s">
        <v>253</v>
      </c>
      <c r="D41" s="56">
        <v>3</v>
      </c>
      <c r="E41" s="59">
        <f>WORKDAY(F38,1,Holidays)</f>
        <v>46162</v>
      </c>
      <c r="F41" s="59">
        <f>IF(D41=0,E41,WORKDAY(Gantt4567[[#This Row],[Start]],Gantt4567[[#This Row],[Duration (days)]]-1,Holidays))</f>
        <v>46164</v>
      </c>
      <c r="G41" s="57" t="str">
        <f>H38</f>
        <v>2.8.1, 2.8.2</v>
      </c>
      <c r="H41" s="57" t="str">
        <f>A42</f>
        <v>2.10</v>
      </c>
      <c r="I41" s="4">
        <f>IF(Gantt4567[[#This Row],[Start]]="","-",NETWORKDAYS(Gantt4567[[#This Row],[Start]],Gantt4567[[#This Row],[End]],Holidays))</f>
        <v>3</v>
      </c>
      <c r="J41" s="65">
        <v>0</v>
      </c>
      <c r="K41" s="4">
        <f>IFERROR(Gantt4567[[#This Row],[End]]-Gantt4567[[#This Row],[Start]],0)</f>
        <v>2</v>
      </c>
      <c r="L41" s="7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6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</row>
    <row r="42" spans="1:455" x14ac:dyDescent="0.35">
      <c r="A42" s="41" t="s">
        <v>59</v>
      </c>
      <c r="B42" s="38" t="s">
        <v>409</v>
      </c>
      <c r="C42" s="38" t="s">
        <v>257</v>
      </c>
      <c r="D42" s="56">
        <v>0</v>
      </c>
      <c r="E42" s="59">
        <f>F41</f>
        <v>46164</v>
      </c>
      <c r="F42" s="59">
        <f>IF(D42=0,E42,WORKDAY(Gantt4567[[#This Row],[Start]],Gantt4567[[#This Row],[Duration (days)]]-1,Holidays))</f>
        <v>46164</v>
      </c>
      <c r="G42" s="57" t="str">
        <f>H40</f>
        <v>2.9</v>
      </c>
      <c r="H42" s="57" t="str">
        <f>A43</f>
        <v>3.0 </v>
      </c>
      <c r="I42" s="4">
        <v>0</v>
      </c>
      <c r="J42" s="65">
        <v>0</v>
      </c>
      <c r="K42" s="4">
        <f>IFERROR(Gantt4567[[#This Row],[End]]-Gantt4567[[#This Row],[Start]],0)</f>
        <v>0</v>
      </c>
      <c r="L42" s="77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6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</row>
    <row r="43" spans="1:455" x14ac:dyDescent="0.35">
      <c r="A43" s="6" t="s">
        <v>60</v>
      </c>
      <c r="B43" s="5" t="s">
        <v>371</v>
      </c>
      <c r="C43" s="5" t="s">
        <v>255</v>
      </c>
      <c r="D43" s="61">
        <f>D44+D50+D51+D55</f>
        <v>22</v>
      </c>
      <c r="E43" s="58">
        <f>WORKDAY(F21,1,Holidays)</f>
        <v>46167</v>
      </c>
      <c r="F43" s="58">
        <f>F59</f>
        <v>46197</v>
      </c>
      <c r="G43" s="57" t="str">
        <f>H41</f>
        <v>2.10</v>
      </c>
      <c r="H43" s="57" t="str">
        <f>A44</f>
        <v>3.1 </v>
      </c>
      <c r="I43" s="4">
        <f>IF(Gantt4567[[#This Row],[Start]]="","-",NETWORKDAYS(Gantt4567[[#This Row],[Start]],Gantt4567[[#This Row],[End]],Holidays))</f>
        <v>22</v>
      </c>
      <c r="J43" s="65">
        <v>0</v>
      </c>
      <c r="K43" s="4">
        <f>IFERROR(Gantt4567[[#This Row],[End]]-Gantt4567[[#This Row],[Start]],0)</f>
        <v>30</v>
      </c>
      <c r="L43" s="77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6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</row>
    <row r="44" spans="1:455" x14ac:dyDescent="0.35">
      <c r="A44" s="9" t="s">
        <v>61</v>
      </c>
      <c r="B44" t="s">
        <v>372</v>
      </c>
      <c r="C44" t="s">
        <v>253</v>
      </c>
      <c r="D44" s="29">
        <f>MAX(D45,D47:D49)+D46</f>
        <v>8</v>
      </c>
      <c r="E44" s="59">
        <f>E43</f>
        <v>46167</v>
      </c>
      <c r="F44" s="59">
        <f>IF(D44=0,E44,WORKDAY(Gantt4567[[#This Row],[Start]],Gantt4567[[#This Row],[Duration (days)]]-1,Holidays))</f>
        <v>46176</v>
      </c>
      <c r="G44" s="57" t="str">
        <f>H42</f>
        <v>3.0 </v>
      </c>
      <c r="H44" s="57" t="str">
        <f>_xlfn.TEXTJOIN(", ",TRUE,A45,A47:A49)</f>
        <v>3.1.1, 3.1.3, 3.1.4, 3.1.5</v>
      </c>
      <c r="I44" s="4">
        <f>IF(Gantt4567[[#This Row],[Start]]="","-",NETWORKDAYS(Gantt4567[[#This Row],[Start]],Gantt4567[[#This Row],[End]],Holidays))</f>
        <v>8</v>
      </c>
      <c r="J44" s="65">
        <v>0</v>
      </c>
      <c r="K44" s="4">
        <f>IFERROR(Gantt4567[[#This Row],[End]]-Gantt4567[[#This Row],[Start]],0)</f>
        <v>9</v>
      </c>
      <c r="L44" s="77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6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</row>
    <row r="45" spans="1:455" x14ac:dyDescent="0.35">
      <c r="A45" s="24" t="s">
        <v>62</v>
      </c>
      <c r="B45" t="s">
        <v>373</v>
      </c>
      <c r="C45" t="s">
        <v>254</v>
      </c>
      <c r="D45" s="56">
        <v>4</v>
      </c>
      <c r="E45" s="59">
        <f>E44</f>
        <v>46167</v>
      </c>
      <c r="F45" s="59">
        <f>IF(D45=0,E45,WORKDAY(Gantt4567[[#This Row],[Start]],Gantt4567[[#This Row],[Duration (days)]]-1,Holidays))</f>
        <v>46170</v>
      </c>
      <c r="G45" s="57" t="str">
        <f>H43</f>
        <v>3.1 </v>
      </c>
      <c r="H45" s="57" t="str">
        <f>A46</f>
        <v xml:space="preserve">3.1.2 </v>
      </c>
      <c r="I45" s="4">
        <f>IF(Gantt4567[[#This Row],[Start]]="","-",NETWORKDAYS(Gantt4567[[#This Row],[Start]],Gantt4567[[#This Row],[End]],Holidays))</f>
        <v>4</v>
      </c>
      <c r="J45" s="65">
        <v>0</v>
      </c>
      <c r="K45" s="4">
        <f>IFERROR(Gantt4567[[#This Row],[End]]-Gantt4567[[#This Row],[Start]],0)</f>
        <v>3</v>
      </c>
      <c r="L45" s="77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6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</row>
    <row r="46" spans="1:455" x14ac:dyDescent="0.35">
      <c r="A46" s="12" t="s">
        <v>63</v>
      </c>
      <c r="B46" t="s">
        <v>374</v>
      </c>
      <c r="C46" t="s">
        <v>254</v>
      </c>
      <c r="D46" s="56">
        <v>4</v>
      </c>
      <c r="E46" s="59">
        <f>WORKDAY(F45,1,Holidays)</f>
        <v>46171</v>
      </c>
      <c r="F46" s="59">
        <f>IF(D46=0,E46,WORKDAY(Gantt4567[[#This Row],[Start]],Gantt4567[[#This Row],[Duration (days)]]-1,Holidays))</f>
        <v>46176</v>
      </c>
      <c r="G46" s="57" t="str">
        <f>A45</f>
        <v>3.1.1</v>
      </c>
      <c r="H46" s="57" t="str">
        <f>A50</f>
        <v>3.2</v>
      </c>
      <c r="I46" s="4">
        <f>IF(Gantt4567[[#This Row],[Start]]="","-",NETWORKDAYS(Gantt4567[[#This Row],[Start]],Gantt4567[[#This Row],[End]],Holidays))</f>
        <v>4</v>
      </c>
      <c r="J46" s="65">
        <v>0</v>
      </c>
      <c r="K46" s="4">
        <f>IFERROR(Gantt4567[[#This Row],[End]]-Gantt4567[[#This Row],[Start]],0)</f>
        <v>5</v>
      </c>
      <c r="L46" s="77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6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</row>
    <row r="47" spans="1:455" x14ac:dyDescent="0.35">
      <c r="A47" s="24" t="s">
        <v>64</v>
      </c>
      <c r="B47" t="s">
        <v>375</v>
      </c>
      <c r="C47" t="s">
        <v>254</v>
      </c>
      <c r="D47" s="56">
        <v>4</v>
      </c>
      <c r="E47" s="59">
        <f>E44</f>
        <v>46167</v>
      </c>
      <c r="F47" s="59">
        <f>IF(D47=0,E47,WORKDAY(Gantt4567[[#This Row],[Start]],Gantt4567[[#This Row],[Duration (days)]]-1,Holidays))</f>
        <v>46170</v>
      </c>
      <c r="G47" s="57" t="str">
        <f>H43</f>
        <v>3.1 </v>
      </c>
      <c r="H47" s="57" t="str">
        <f>A50</f>
        <v>3.2</v>
      </c>
      <c r="I47" s="4">
        <f>IF(Gantt4567[[#This Row],[Start]]="","-",NETWORKDAYS(Gantt4567[[#This Row],[Start]],Gantt4567[[#This Row],[End]],Holidays))</f>
        <v>4</v>
      </c>
      <c r="K47" s="4">
        <f>IFERROR(Gantt4567[[#This Row],[End]]-Gantt4567[[#This Row],[Start]],0)</f>
        <v>3</v>
      </c>
      <c r="L47" s="77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6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</row>
    <row r="48" spans="1:455" x14ac:dyDescent="0.35">
      <c r="A48" s="24" t="s">
        <v>65</v>
      </c>
      <c r="B48" t="s">
        <v>376</v>
      </c>
      <c r="C48" t="s">
        <v>254</v>
      </c>
      <c r="D48" s="56">
        <v>4</v>
      </c>
      <c r="E48" s="59">
        <f>E44</f>
        <v>46167</v>
      </c>
      <c r="F48" s="59">
        <f>IF(D48=0,E48,WORKDAY(Gantt4567[[#This Row],[Start]],Gantt4567[[#This Row],[Duration (days)]]-1,Holidays))</f>
        <v>46170</v>
      </c>
      <c r="G48" s="57" t="str">
        <f>H43</f>
        <v>3.1 </v>
      </c>
      <c r="H48" s="57" t="str">
        <f>A50</f>
        <v>3.2</v>
      </c>
      <c r="I48" s="4">
        <f>IF(Gantt4567[[#This Row],[Start]]="","-",NETWORKDAYS(Gantt4567[[#This Row],[Start]],Gantt4567[[#This Row],[End]],Holidays))</f>
        <v>4</v>
      </c>
      <c r="K48" s="4">
        <f>IFERROR(Gantt4567[[#This Row],[End]]-Gantt4567[[#This Row],[Start]],0)</f>
        <v>3</v>
      </c>
      <c r="L48" s="77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6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</row>
    <row r="49" spans="1:455" s="30" customFormat="1" x14ac:dyDescent="0.35">
      <c r="A49" s="24" t="s">
        <v>66</v>
      </c>
      <c r="B49" t="s">
        <v>377</v>
      </c>
      <c r="C49" t="s">
        <v>254</v>
      </c>
      <c r="D49" s="56">
        <v>4</v>
      </c>
      <c r="E49" s="59">
        <f>E44</f>
        <v>46167</v>
      </c>
      <c r="F49" s="59">
        <f>IF(D49=0,E49,WORKDAY(Gantt4567[[#This Row],[Start]],Gantt4567[[#This Row],[Duration (days)]]-1,Holidays))</f>
        <v>46170</v>
      </c>
      <c r="G49" s="57" t="str">
        <f>H43</f>
        <v>3.1 </v>
      </c>
      <c r="H49" s="57" t="str">
        <f>A50</f>
        <v>3.2</v>
      </c>
      <c r="I49" s="4">
        <f>IF(Gantt4567[[#This Row],[Start]]="","-",NETWORKDAYS(Gantt4567[[#This Row],[Start]],Gantt4567[[#This Row],[End]],Holidays))</f>
        <v>4</v>
      </c>
      <c r="J49" s="65"/>
      <c r="K49" s="4">
        <f>IFERROR(Gantt4567[[#This Row],[End]]-Gantt4567[[#This Row],[Start]],0)</f>
        <v>3</v>
      </c>
      <c r="L49" s="77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6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</row>
    <row r="50" spans="1:455" s="30" customFormat="1" x14ac:dyDescent="0.35">
      <c r="A50" s="9" t="s">
        <v>67</v>
      </c>
      <c r="B50" t="s">
        <v>378</v>
      </c>
      <c r="C50" t="s">
        <v>253</v>
      </c>
      <c r="D50" s="62">
        <v>5</v>
      </c>
      <c r="E50" s="59">
        <f>WORKDAY(F44,1,Holidays)</f>
        <v>46177</v>
      </c>
      <c r="F50" s="59">
        <f>IF(D50=0,E50,WORKDAY(Gantt4567[[#This Row],[Start]],Gantt4567[[#This Row],[Duration (days)]]-1,Holidays))</f>
        <v>46184</v>
      </c>
      <c r="G50" s="57" t="str">
        <f>_xlfn.TEXTJOIN(", ",TRUE,A46:A49)</f>
        <v>3.1.2 , 3.1.3, 3.1.4, 3.1.5</v>
      </c>
      <c r="H50" s="57" t="str">
        <f>A51</f>
        <v>3.3</v>
      </c>
      <c r="I50" s="4">
        <f>IF(Gantt4567[[#This Row],[Start]]="","-",NETWORKDAYS(Gantt4567[[#This Row],[Start]],Gantt4567[[#This Row],[End]],Holidays))</f>
        <v>5</v>
      </c>
      <c r="J50" s="65">
        <v>0</v>
      </c>
      <c r="K50" s="4">
        <f>IFERROR(Gantt4567[[#This Row],[End]]-Gantt4567[[#This Row],[Start]],0)</f>
        <v>7</v>
      </c>
      <c r="L50" s="77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6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</row>
    <row r="51" spans="1:455" s="30" customFormat="1" x14ac:dyDescent="0.35">
      <c r="A51" s="9" t="s">
        <v>68</v>
      </c>
      <c r="B51" t="s">
        <v>379</v>
      </c>
      <c r="C51" t="s">
        <v>253</v>
      </c>
      <c r="D51" s="29">
        <f>MAX(D52:D53)+D54</f>
        <v>4</v>
      </c>
      <c r="E51" s="59">
        <f>WORKDAY(F50,1,Holidays)</f>
        <v>46185</v>
      </c>
      <c r="F51" s="59">
        <f>IF(D51=0,E51,WORKDAY(Gantt4567[[#This Row],[Start]],Gantt4567[[#This Row],[Duration (days)]]-1,Holidays))</f>
        <v>46190</v>
      </c>
      <c r="G51" s="57" t="str">
        <f>H46</f>
        <v>3.2</v>
      </c>
      <c r="H51" s="57" t="str">
        <f>_xlfn.TEXTJOIN(", ",TRUE,A52:A53)</f>
        <v>3.3.1, 3.3.2</v>
      </c>
      <c r="I51" s="4">
        <f>IF(Gantt4567[[#This Row],[Start]]="","-",NETWORKDAYS(Gantt4567[[#This Row],[Start]],Gantt4567[[#This Row],[End]],Holidays))</f>
        <v>4</v>
      </c>
      <c r="J51" s="65">
        <v>0</v>
      </c>
      <c r="K51" s="4">
        <f>IFERROR(Gantt4567[[#This Row],[End]]-Gantt4567[[#This Row],[Start]],0)</f>
        <v>5</v>
      </c>
      <c r="L51" s="77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6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</row>
    <row r="52" spans="1:455" s="30" customFormat="1" x14ac:dyDescent="0.35">
      <c r="A52" s="24" t="s">
        <v>69</v>
      </c>
      <c r="B52" t="s">
        <v>380</v>
      </c>
      <c r="C52" t="s">
        <v>254</v>
      </c>
      <c r="D52" s="56">
        <v>2</v>
      </c>
      <c r="E52" s="59">
        <f>E51</f>
        <v>46185</v>
      </c>
      <c r="F52" s="59">
        <f>IF(D52=0,E52,WORKDAY(Gantt4567[[#This Row],[Start]],Gantt4567[[#This Row],[Duration (days)]]-1,Holidays))</f>
        <v>46188</v>
      </c>
      <c r="G52" s="57" t="str">
        <f>H50</f>
        <v>3.3</v>
      </c>
      <c r="H52" s="57" t="str">
        <f>A54</f>
        <v>3.3.3</v>
      </c>
      <c r="I52" s="4">
        <f>IF(Gantt4567[[#This Row],[Start]]="","-",NETWORKDAYS(Gantt4567[[#This Row],[Start]],Gantt4567[[#This Row],[End]],Holidays))</f>
        <v>2</v>
      </c>
      <c r="J52" s="65">
        <v>0</v>
      </c>
      <c r="K52" s="4">
        <f>IFERROR(Gantt4567[[#This Row],[End]]-Gantt4567[[#This Row],[Start]],0)</f>
        <v>3</v>
      </c>
      <c r="L52" s="77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6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</row>
    <row r="53" spans="1:455" s="30" customFormat="1" x14ac:dyDescent="0.35">
      <c r="A53" s="24" t="s">
        <v>70</v>
      </c>
      <c r="B53" t="s">
        <v>381</v>
      </c>
      <c r="C53" t="s">
        <v>254</v>
      </c>
      <c r="D53" s="56">
        <v>2</v>
      </c>
      <c r="E53" s="59">
        <f>E51</f>
        <v>46185</v>
      </c>
      <c r="F53" s="59">
        <f>IF(D53=0,E53,WORKDAY(Gantt4567[[#This Row],[Start]],Gantt4567[[#This Row],[Duration (days)]]-1,Holidays))</f>
        <v>46188</v>
      </c>
      <c r="G53" s="57" t="str">
        <f>H50</f>
        <v>3.3</v>
      </c>
      <c r="H53" s="57" t="str">
        <f>A54</f>
        <v>3.3.3</v>
      </c>
      <c r="I53" s="4">
        <f>IF(Gantt4567[[#This Row],[Start]]="","-",NETWORKDAYS(Gantt4567[[#This Row],[Start]],Gantt4567[[#This Row],[End]],Holidays))</f>
        <v>2</v>
      </c>
      <c r="J53" s="65">
        <v>0</v>
      </c>
      <c r="K53" s="4">
        <f>IFERROR(Gantt4567[[#This Row],[End]]-Gantt4567[[#This Row],[Start]],0)</f>
        <v>3</v>
      </c>
      <c r="L53" s="77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6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</row>
    <row r="54" spans="1:455" s="30" customFormat="1" x14ac:dyDescent="0.35">
      <c r="A54" s="11" t="s">
        <v>71</v>
      </c>
      <c r="B54" t="s">
        <v>382</v>
      </c>
      <c r="C54" t="s">
        <v>254</v>
      </c>
      <c r="D54" s="56">
        <v>2</v>
      </c>
      <c r="E54" s="59">
        <f>WORKDAY(F52,1,Holidays)</f>
        <v>46189</v>
      </c>
      <c r="F54" s="59">
        <f>IF(D54=0,E54,WORKDAY(Gantt4567[[#This Row],[Start]],Gantt4567[[#This Row],[Duration (days)]]-1,Holidays))</f>
        <v>46190</v>
      </c>
      <c r="G54" s="57" t="str">
        <f>H51</f>
        <v>3.3.1, 3.3.2</v>
      </c>
      <c r="H54" s="57" t="str">
        <f>A55</f>
        <v>3.4</v>
      </c>
      <c r="I54" s="4">
        <f>IF(Gantt4567[[#This Row],[Start]]="","-",NETWORKDAYS(Gantt4567[[#This Row],[Start]],Gantt4567[[#This Row],[End]],Holidays))</f>
        <v>2</v>
      </c>
      <c r="J54" s="65">
        <v>0</v>
      </c>
      <c r="K54" s="4">
        <f>IFERROR(Gantt4567[[#This Row],[End]]-Gantt4567[[#This Row],[Start]],0)</f>
        <v>1</v>
      </c>
      <c r="L54" s="77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6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</row>
    <row r="55" spans="1:455" s="30" customFormat="1" x14ac:dyDescent="0.35">
      <c r="A55" s="9" t="s">
        <v>72</v>
      </c>
      <c r="B55" t="s">
        <v>383</v>
      </c>
      <c r="C55" t="s">
        <v>253</v>
      </c>
      <c r="D55" s="29">
        <f>MAX(D56:D57)+D58</f>
        <v>5</v>
      </c>
      <c r="E55" s="59">
        <f>WORKDAY(F51,1,Holidays)</f>
        <v>46191</v>
      </c>
      <c r="F55" s="59">
        <f>IF(D55=0,E55,WORKDAY(Gantt4567[[#This Row],[Start]],Gantt4567[[#This Row],[Duration (days)]]-1,Holidays))</f>
        <v>46197</v>
      </c>
      <c r="G55" s="57" t="str">
        <f>H52</f>
        <v>3.3.3</v>
      </c>
      <c r="H55" s="57" t="str">
        <f>_xlfn.TEXTJOIN(", ",TRUE,A56:A57)</f>
        <v>3.4.1, 3.4.2</v>
      </c>
      <c r="I55" s="4">
        <f>IF(Gantt4567[[#This Row],[Start]]="","-",NETWORKDAYS(Gantt4567[[#This Row],[Start]],Gantt4567[[#This Row],[End]],Holidays))</f>
        <v>5</v>
      </c>
      <c r="J55" s="65">
        <v>0</v>
      </c>
      <c r="K55" s="4">
        <f>IFERROR(Gantt4567[[#This Row],[End]]-Gantt4567[[#This Row],[Start]],0)</f>
        <v>6</v>
      </c>
      <c r="L55" s="7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6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</row>
    <row r="56" spans="1:455" s="30" customFormat="1" x14ac:dyDescent="0.35">
      <c r="A56" s="24" t="s">
        <v>73</v>
      </c>
      <c r="B56" t="s">
        <v>225</v>
      </c>
      <c r="C56" t="s">
        <v>254</v>
      </c>
      <c r="D56" s="56">
        <v>2</v>
      </c>
      <c r="E56" s="59">
        <f>E55</f>
        <v>46191</v>
      </c>
      <c r="F56" s="59">
        <f>IF(D56=0,E56,WORKDAY(Gantt4567[[#This Row],[Start]],Gantt4567[[#This Row],[Duration (days)]]-1,Holidays))</f>
        <v>46192</v>
      </c>
      <c r="G56" s="57" t="str">
        <f>H54</f>
        <v>3.4</v>
      </c>
      <c r="H56" s="57" t="str">
        <f>A58</f>
        <v>3.4.3</v>
      </c>
      <c r="I56" s="4">
        <f>IF(Gantt4567[[#This Row],[Start]]="","-",NETWORKDAYS(Gantt4567[[#This Row],[Start]],Gantt4567[[#This Row],[End]],Holidays))</f>
        <v>2</v>
      </c>
      <c r="J56" s="65">
        <v>0</v>
      </c>
      <c r="K56" s="4">
        <f>IFERROR(Gantt4567[[#This Row],[End]]-Gantt4567[[#This Row],[Start]],0)</f>
        <v>1</v>
      </c>
      <c r="L56" s="77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6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</row>
    <row r="57" spans="1:455" s="30" customFormat="1" x14ac:dyDescent="0.35">
      <c r="A57" s="24" t="s">
        <v>74</v>
      </c>
      <c r="B57" t="s">
        <v>226</v>
      </c>
      <c r="C57" t="s">
        <v>254</v>
      </c>
      <c r="D57" s="56">
        <v>2</v>
      </c>
      <c r="E57" s="59">
        <f>E55</f>
        <v>46191</v>
      </c>
      <c r="F57" s="59">
        <f>IF(D57=0,E57,WORKDAY(Gantt4567[[#This Row],[Start]],Gantt4567[[#This Row],[Duration (days)]]-1,Holidays))</f>
        <v>46192</v>
      </c>
      <c r="G57" s="57" t="str">
        <f>H54</f>
        <v>3.4</v>
      </c>
      <c r="H57" s="57" t="str">
        <f>A58</f>
        <v>3.4.3</v>
      </c>
      <c r="I57" s="4">
        <f>IF(Gantt4567[[#This Row],[Start]]="","-",NETWORKDAYS(Gantt4567[[#This Row],[Start]],Gantt4567[[#This Row],[End]],Holidays))</f>
        <v>2</v>
      </c>
      <c r="J57" s="65">
        <v>0</v>
      </c>
      <c r="K57" s="4">
        <f>IFERROR(Gantt4567[[#This Row],[End]]-Gantt4567[[#This Row],[Start]],0)</f>
        <v>1</v>
      </c>
      <c r="L57" s="77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6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</row>
    <row r="58" spans="1:455" s="30" customFormat="1" x14ac:dyDescent="0.35">
      <c r="A58" s="11" t="s">
        <v>75</v>
      </c>
      <c r="B58" t="s">
        <v>384</v>
      </c>
      <c r="C58" t="s">
        <v>254</v>
      </c>
      <c r="D58" s="56">
        <v>3</v>
      </c>
      <c r="E58" s="59">
        <f>WORKDAY(F56,1,Holidays)</f>
        <v>46195</v>
      </c>
      <c r="F58" s="59">
        <f>IF(D58=0,E58,WORKDAY(Gantt4567[[#This Row],[Start]],Gantt4567[[#This Row],[Duration (days)]]-1,Holidays))</f>
        <v>46197</v>
      </c>
      <c r="G58" s="57" t="str">
        <f>H55</f>
        <v>3.4.1, 3.4.2</v>
      </c>
      <c r="H58" s="57" t="str">
        <f>A59</f>
        <v>3.5</v>
      </c>
      <c r="I58" s="4">
        <f>IF(Gantt4567[[#This Row],[Start]]="","-",NETWORKDAYS(Gantt4567[[#This Row],[Start]],Gantt4567[[#This Row],[End]],Holidays))</f>
        <v>3</v>
      </c>
      <c r="J58" s="65">
        <v>0</v>
      </c>
      <c r="K58" s="4">
        <f>IFERROR(Gantt4567[[#This Row],[End]]-Gantt4567[[#This Row],[Start]],0)</f>
        <v>2</v>
      </c>
      <c r="L58" s="77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6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</row>
    <row r="59" spans="1:455" s="30" customFormat="1" x14ac:dyDescent="0.35">
      <c r="A59" s="41" t="s">
        <v>76</v>
      </c>
      <c r="B59" s="38" t="s">
        <v>410</v>
      </c>
      <c r="C59" s="38" t="s">
        <v>257</v>
      </c>
      <c r="D59" s="56">
        <v>0</v>
      </c>
      <c r="E59" s="59">
        <f>F55</f>
        <v>46197</v>
      </c>
      <c r="F59" s="59">
        <f>IF(D59=0,E59,WORKDAY(Gantt4567[[#This Row],[Start]],Gantt4567[[#This Row],[Duration (days)]]-1,Holidays))</f>
        <v>46197</v>
      </c>
      <c r="G59" s="57" t="str">
        <f>H57</f>
        <v>3.4.3</v>
      </c>
      <c r="H59" s="57" t="str">
        <f>A60</f>
        <v>4.0 </v>
      </c>
      <c r="I59" s="4">
        <v>0</v>
      </c>
      <c r="J59" s="65">
        <v>0</v>
      </c>
      <c r="K59" s="4">
        <f>IFERROR(Gantt4567[[#This Row],[End]]-Gantt4567[[#This Row],[Start]],0)</f>
        <v>0</v>
      </c>
      <c r="L59" s="77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6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</row>
    <row r="60" spans="1:455" s="30" customFormat="1" x14ac:dyDescent="0.35">
      <c r="A60" s="6" t="s">
        <v>77</v>
      </c>
      <c r="B60" s="5" t="s">
        <v>350</v>
      </c>
      <c r="C60" s="5" t="s">
        <v>255</v>
      </c>
      <c r="D60" s="61">
        <f>D61+MAX(D65,D69,D73)+D76</f>
        <v>21</v>
      </c>
      <c r="E60" s="58">
        <f>WORKDAY(F43,1,Holidays)</f>
        <v>46198</v>
      </c>
      <c r="F60" s="58">
        <f>F81</f>
        <v>46226</v>
      </c>
      <c r="G60" s="57" t="str">
        <f>H58</f>
        <v>3.5</v>
      </c>
      <c r="H60" s="57" t="str">
        <f>A61</f>
        <v>4.1 </v>
      </c>
      <c r="I60" s="4">
        <f>IF(Gantt4567[[#This Row],[Start]]="","-",NETWORKDAYS(Gantt4567[[#This Row],[Start]],Gantt4567[[#This Row],[End]],Holidays))</f>
        <v>21</v>
      </c>
      <c r="J60" s="65">
        <v>0</v>
      </c>
      <c r="K60" s="4">
        <f>IFERROR(Gantt4567[[#This Row],[End]]-Gantt4567[[#This Row],[Start]],0)</f>
        <v>28</v>
      </c>
      <c r="L60" s="77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6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</row>
    <row r="61" spans="1:455" s="30" customFormat="1" x14ac:dyDescent="0.35">
      <c r="A61" s="9" t="s">
        <v>78</v>
      </c>
      <c r="B61" t="s">
        <v>351</v>
      </c>
      <c r="C61" t="s">
        <v>253</v>
      </c>
      <c r="D61" s="29">
        <f>MAX(D62:D64)</f>
        <v>3</v>
      </c>
      <c r="E61" s="59">
        <f>E60</f>
        <v>46198</v>
      </c>
      <c r="F61" s="59">
        <f>IF(D61=0,E61,WORKDAY(Gantt4567[[#This Row],[Start]],Gantt4567[[#This Row],[Duration (days)]]-1,Holidays))</f>
        <v>46202</v>
      </c>
      <c r="G61" s="57" t="str">
        <f>H59</f>
        <v>4.0 </v>
      </c>
      <c r="H61" s="57" t="str">
        <f>_xlfn.TEXTJOIN(", ",TRUE,A62:A64)</f>
        <v>4.1.1, 4.1.2, 4.1.3</v>
      </c>
      <c r="I61" s="4">
        <f>IF(Gantt4567[[#This Row],[Start]]="","-",NETWORKDAYS(Gantt4567[[#This Row],[Start]],Gantt4567[[#This Row],[End]],Holidays))</f>
        <v>3</v>
      </c>
      <c r="J61" s="65">
        <v>0</v>
      </c>
      <c r="K61" s="4">
        <f>IFERROR(Gantt4567[[#This Row],[End]]-Gantt4567[[#This Row],[Start]],0)</f>
        <v>4</v>
      </c>
      <c r="L61" s="77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6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</row>
    <row r="62" spans="1:455" s="30" customFormat="1" x14ac:dyDescent="0.35">
      <c r="A62" s="24" t="s">
        <v>79</v>
      </c>
      <c r="B62" t="s">
        <v>352</v>
      </c>
      <c r="C62" t="s">
        <v>254</v>
      </c>
      <c r="D62" s="56">
        <v>3</v>
      </c>
      <c r="E62" s="59">
        <f>E61</f>
        <v>46198</v>
      </c>
      <c r="F62" s="59">
        <f>IF(D62=0,E62,WORKDAY(Gantt4567[[#This Row],[Start]],Gantt4567[[#This Row],[Duration (days)]]-1,Holidays))</f>
        <v>46202</v>
      </c>
      <c r="G62" s="57" t="str">
        <f>H60</f>
        <v>4.1 </v>
      </c>
      <c r="H62" s="57" t="str">
        <f>_xlfn.TEXTJOIN(", ",TRUE,A65,A69,A73)</f>
        <v>4.2 , 4.3 , 4.4 </v>
      </c>
      <c r="I62" s="4">
        <f>IF(Gantt4567[[#This Row],[Start]]="","-",NETWORKDAYS(Gantt4567[[#This Row],[Start]],Gantt4567[[#This Row],[End]],Holidays))</f>
        <v>3</v>
      </c>
      <c r="J62" s="65">
        <v>0</v>
      </c>
      <c r="K62" s="4">
        <f>IFERROR(Gantt4567[[#This Row],[End]]-Gantt4567[[#This Row],[Start]],0)</f>
        <v>4</v>
      </c>
      <c r="L62" s="77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6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</row>
    <row r="63" spans="1:455" s="30" customFormat="1" x14ac:dyDescent="0.35">
      <c r="A63" s="24" t="s">
        <v>80</v>
      </c>
      <c r="B63" t="s">
        <v>353</v>
      </c>
      <c r="C63" t="s">
        <v>254</v>
      </c>
      <c r="D63" s="56">
        <v>3</v>
      </c>
      <c r="E63" s="59">
        <f>E61</f>
        <v>46198</v>
      </c>
      <c r="F63" s="59">
        <f>IF(D63=0,E63,WORKDAY(Gantt4567[[#This Row],[Start]],Gantt4567[[#This Row],[Duration (days)]]-1,Holidays))</f>
        <v>46202</v>
      </c>
      <c r="G63" s="57" t="str">
        <f>H60</f>
        <v>4.1 </v>
      </c>
      <c r="H63" s="57" t="str">
        <f>H62</f>
        <v>4.2 , 4.3 , 4.4 </v>
      </c>
      <c r="I63" s="4">
        <f>IF(Gantt4567[[#This Row],[Start]]="","-",NETWORKDAYS(Gantt4567[[#This Row],[Start]],Gantt4567[[#This Row],[End]],Holidays))</f>
        <v>3</v>
      </c>
      <c r="J63" s="65">
        <v>0</v>
      </c>
      <c r="K63" s="4">
        <f>IFERROR(Gantt4567[[#This Row],[End]]-Gantt4567[[#This Row],[Start]],0)</f>
        <v>4</v>
      </c>
      <c r="L63" s="77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6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</row>
    <row r="64" spans="1:455" s="30" customFormat="1" x14ac:dyDescent="0.35">
      <c r="A64" s="24" t="s">
        <v>81</v>
      </c>
      <c r="B64" t="s">
        <v>354</v>
      </c>
      <c r="C64" t="s">
        <v>254</v>
      </c>
      <c r="D64" s="56">
        <v>3</v>
      </c>
      <c r="E64" s="59">
        <f>E61</f>
        <v>46198</v>
      </c>
      <c r="F64" s="59">
        <f>IF(D64=0,E64,WORKDAY(Gantt4567[[#This Row],[Start]],Gantt4567[[#This Row],[Duration (days)]]-1,Holidays))</f>
        <v>46202</v>
      </c>
      <c r="G64" s="57" t="str">
        <f>H60</f>
        <v>4.1 </v>
      </c>
      <c r="H64" s="57" t="str">
        <f>H63</f>
        <v>4.2 , 4.3 , 4.4 </v>
      </c>
      <c r="I64" s="4">
        <f>IF(Gantt4567[[#This Row],[Start]]="","-",NETWORKDAYS(Gantt4567[[#This Row],[Start]],Gantt4567[[#This Row],[End]],Holidays))</f>
        <v>3</v>
      </c>
      <c r="J64" s="65">
        <v>0</v>
      </c>
      <c r="K64" s="4">
        <f>IFERROR(Gantt4567[[#This Row],[End]]-Gantt4567[[#This Row],[Start]],0)</f>
        <v>4</v>
      </c>
      <c r="L64" s="77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6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</row>
    <row r="65" spans="1:455" s="30" customFormat="1" x14ac:dyDescent="0.35">
      <c r="A65" s="9" t="s">
        <v>82</v>
      </c>
      <c r="B65" t="s">
        <v>355</v>
      </c>
      <c r="C65" t="s">
        <v>253</v>
      </c>
      <c r="D65" s="29">
        <f>MAX(D66:D67)+D68</f>
        <v>7</v>
      </c>
      <c r="E65" s="59">
        <f>WORKDAY(F61,1,Holidays)</f>
        <v>46203</v>
      </c>
      <c r="F65" s="59">
        <f>IF(D65=0,E65,WORKDAY(Gantt4567[[#This Row],[Start]],Gantt4567[[#This Row],[Duration (days)]]-1,Holidays))</f>
        <v>46211</v>
      </c>
      <c r="G65" s="57" t="str">
        <f>H61</f>
        <v>4.1.1, 4.1.2, 4.1.3</v>
      </c>
      <c r="H65" s="57" t="str">
        <f>_xlfn.TEXTJOIN(", ",TRUE,A66:A67)</f>
        <v>4.2.1, 4.2.2</v>
      </c>
      <c r="I65" s="4">
        <f>IF(Gantt4567[[#This Row],[Start]]="","-",NETWORKDAYS(Gantt4567[[#This Row],[Start]],Gantt4567[[#This Row],[End]],Holidays))</f>
        <v>7</v>
      </c>
      <c r="J65" s="65">
        <v>0</v>
      </c>
      <c r="K65" s="4">
        <f>IFERROR(Gantt4567[[#This Row],[End]]-Gantt4567[[#This Row],[Start]],0)</f>
        <v>8</v>
      </c>
      <c r="L65" s="77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6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</row>
    <row r="66" spans="1:455" s="30" customFormat="1" x14ac:dyDescent="0.35">
      <c r="A66" s="24" t="s">
        <v>83</v>
      </c>
      <c r="B66" t="s">
        <v>356</v>
      </c>
      <c r="C66" t="s">
        <v>254</v>
      </c>
      <c r="D66" s="56">
        <v>4</v>
      </c>
      <c r="E66" s="59">
        <f>E65</f>
        <v>46203</v>
      </c>
      <c r="F66" s="59">
        <f>IF(D66=0,E66,WORKDAY(Gantt4567[[#This Row],[Start]],Gantt4567[[#This Row],[Duration (days)]]-1,Holidays))</f>
        <v>46206</v>
      </c>
      <c r="G66" s="57" t="str">
        <f>A65</f>
        <v>4.2 </v>
      </c>
      <c r="H66" s="57" t="str">
        <f>A68</f>
        <v>4.2.3</v>
      </c>
      <c r="I66" s="4">
        <f>IF(Gantt4567[[#This Row],[Start]]="","-",NETWORKDAYS(Gantt4567[[#This Row],[Start]],Gantt4567[[#This Row],[End]],Holidays))</f>
        <v>4</v>
      </c>
      <c r="J66" s="65">
        <v>0</v>
      </c>
      <c r="K66" s="4">
        <f>IFERROR(Gantt4567[[#This Row],[End]]-Gantt4567[[#This Row],[Start]],0)</f>
        <v>3</v>
      </c>
      <c r="L66" s="77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6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</row>
    <row r="67" spans="1:455" s="30" customFormat="1" x14ac:dyDescent="0.35">
      <c r="A67" s="24" t="s">
        <v>84</v>
      </c>
      <c r="B67" t="s">
        <v>357</v>
      </c>
      <c r="C67" t="s">
        <v>254</v>
      </c>
      <c r="D67" s="56">
        <v>4</v>
      </c>
      <c r="E67" s="59">
        <f>E65</f>
        <v>46203</v>
      </c>
      <c r="F67" s="59">
        <f>IF(D67=0,E67,WORKDAY(Gantt4567[[#This Row],[Start]],Gantt4567[[#This Row],[Duration (days)]]-1,Holidays))</f>
        <v>46206</v>
      </c>
      <c r="G67" s="57" t="str">
        <f>A65</f>
        <v>4.2 </v>
      </c>
      <c r="H67" s="57" t="str">
        <f>A68</f>
        <v>4.2.3</v>
      </c>
      <c r="I67" s="4">
        <f>IF(Gantt4567[[#This Row],[Start]]="","-",NETWORKDAYS(Gantt4567[[#This Row],[Start]],Gantt4567[[#This Row],[End]],Holidays))</f>
        <v>4</v>
      </c>
      <c r="J67" s="65">
        <v>0</v>
      </c>
      <c r="K67" s="4">
        <f>IFERROR(Gantt4567[[#This Row],[End]]-Gantt4567[[#This Row],[Start]],0)</f>
        <v>3</v>
      </c>
      <c r="L67" s="77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6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</row>
    <row r="68" spans="1:455" s="30" customFormat="1" x14ac:dyDescent="0.35">
      <c r="A68" s="11" t="s">
        <v>85</v>
      </c>
      <c r="B68" t="s">
        <v>358</v>
      </c>
      <c r="C68" t="s">
        <v>254</v>
      </c>
      <c r="D68" s="56">
        <v>3</v>
      </c>
      <c r="E68" s="59">
        <f>WORKDAY(F66,1,Holidays)</f>
        <v>46209</v>
      </c>
      <c r="F68" s="59">
        <f>IF(D68=0,E68,WORKDAY(Gantt4567[[#This Row],[Start]],Gantt4567[[#This Row],[Duration (days)]]-1,Holidays))</f>
        <v>46211</v>
      </c>
      <c r="G68" s="57" t="str">
        <f>H65</f>
        <v>4.2.1, 4.2.2</v>
      </c>
      <c r="H68" s="57" t="str">
        <f>A76</f>
        <v>4.5 </v>
      </c>
      <c r="I68" s="4">
        <f>IF(Gantt4567[[#This Row],[Start]]="","-",NETWORKDAYS(Gantt4567[[#This Row],[Start]],Gantt4567[[#This Row],[End]],Holidays))</f>
        <v>3</v>
      </c>
      <c r="J68" s="65">
        <v>0</v>
      </c>
      <c r="K68" s="4">
        <f>IFERROR(Gantt4567[[#This Row],[End]]-Gantt4567[[#This Row],[Start]],0)</f>
        <v>2</v>
      </c>
      <c r="L68" s="77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6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</row>
    <row r="69" spans="1:455" s="30" customFormat="1" x14ac:dyDescent="0.35">
      <c r="A69" s="9" t="s">
        <v>86</v>
      </c>
      <c r="B69" t="s">
        <v>359</v>
      </c>
      <c r="C69" t="s">
        <v>253</v>
      </c>
      <c r="D69" s="29">
        <f>MAX(D70:D71)+D72</f>
        <v>7</v>
      </c>
      <c r="E69" s="59">
        <f>WORKDAY(F61,1,Holidays)</f>
        <v>46203</v>
      </c>
      <c r="F69" s="59">
        <f>IF(D69=0,E69,WORKDAY(Gantt4567[[#This Row],[Start]],Gantt4567[[#This Row],[Duration (days)]]-1,Holidays))</f>
        <v>46211</v>
      </c>
      <c r="G69" s="57" t="str">
        <f>H61</f>
        <v>4.1.1, 4.1.2, 4.1.3</v>
      </c>
      <c r="H69" s="57" t="str">
        <f>_xlfn.TEXTJOIN(", ",TRUE,A70:A71)</f>
        <v>4.3.1, 4.3.2</v>
      </c>
      <c r="I69" s="4">
        <f>IF(Gantt4567[[#This Row],[Start]]="","-",NETWORKDAYS(Gantt4567[[#This Row],[Start]],Gantt4567[[#This Row],[End]],Holidays))</f>
        <v>7</v>
      </c>
      <c r="J69" s="65">
        <v>0</v>
      </c>
      <c r="K69" s="4">
        <f>IFERROR(Gantt4567[[#This Row],[End]]-Gantt4567[[#This Row],[Start]],0)</f>
        <v>8</v>
      </c>
      <c r="L69" s="77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6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</row>
    <row r="70" spans="1:455" s="30" customFormat="1" x14ac:dyDescent="0.35">
      <c r="A70" s="24" t="s">
        <v>87</v>
      </c>
      <c r="B70" t="s">
        <v>360</v>
      </c>
      <c r="C70" t="s">
        <v>254</v>
      </c>
      <c r="D70" s="56">
        <v>4</v>
      </c>
      <c r="E70" s="59">
        <f>E69</f>
        <v>46203</v>
      </c>
      <c r="F70" s="59">
        <f>IF(D70=0,E70,WORKDAY(Gantt4567[[#This Row],[Start]],Gantt4567[[#This Row],[Duration (days)]]-1,Holidays))</f>
        <v>46206</v>
      </c>
      <c r="G70" s="57" t="str">
        <f>A69</f>
        <v>4.3 </v>
      </c>
      <c r="H70" s="57" t="str">
        <f>A72</f>
        <v>4.3.3</v>
      </c>
      <c r="I70" s="4">
        <f>IF(Gantt4567[[#This Row],[Start]]="","-",NETWORKDAYS(Gantt4567[[#This Row],[Start]],Gantt4567[[#This Row],[End]],Holidays))</f>
        <v>4</v>
      </c>
      <c r="J70" s="65">
        <v>0</v>
      </c>
      <c r="K70" s="4">
        <f>IFERROR(Gantt4567[[#This Row],[End]]-Gantt4567[[#This Row],[Start]],0)</f>
        <v>3</v>
      </c>
      <c r="L70" s="77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6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</row>
    <row r="71" spans="1:455" s="30" customFormat="1" x14ac:dyDescent="0.35">
      <c r="A71" s="24" t="s">
        <v>88</v>
      </c>
      <c r="B71" t="s">
        <v>361</v>
      </c>
      <c r="C71" t="s">
        <v>254</v>
      </c>
      <c r="D71" s="56">
        <v>4</v>
      </c>
      <c r="E71" s="59">
        <f>E69</f>
        <v>46203</v>
      </c>
      <c r="F71" s="59">
        <f>IF(D71=0,E71,WORKDAY(Gantt4567[[#This Row],[Start]],Gantt4567[[#This Row],[Duration (days)]]-1,Holidays))</f>
        <v>46206</v>
      </c>
      <c r="G71" s="57" t="str">
        <f>A69</f>
        <v>4.3 </v>
      </c>
      <c r="H71" s="57" t="str">
        <f>A72</f>
        <v>4.3.3</v>
      </c>
      <c r="I71" s="4">
        <f>IF(Gantt4567[[#This Row],[Start]]="","-",NETWORKDAYS(Gantt4567[[#This Row],[Start]],Gantt4567[[#This Row],[End]],Holidays))</f>
        <v>4</v>
      </c>
      <c r="J71" s="65">
        <v>0</v>
      </c>
      <c r="K71" s="4">
        <f>IFERROR(Gantt4567[[#This Row],[End]]-Gantt4567[[#This Row],[Start]],0)</f>
        <v>3</v>
      </c>
      <c r="L71" s="77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6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</row>
    <row r="72" spans="1:455" s="30" customFormat="1" x14ac:dyDescent="0.35">
      <c r="A72" s="11" t="s">
        <v>89</v>
      </c>
      <c r="B72" t="s">
        <v>362</v>
      </c>
      <c r="C72" t="s">
        <v>254</v>
      </c>
      <c r="D72" s="56">
        <v>3</v>
      </c>
      <c r="E72" s="59">
        <f>WORKDAY(F70,1,Holidays)</f>
        <v>46209</v>
      </c>
      <c r="F72" s="59">
        <f>IF(D72=0,E72,WORKDAY(Gantt4567[[#This Row],[Start]],Gantt4567[[#This Row],[Duration (days)]]-1,Holidays))</f>
        <v>46211</v>
      </c>
      <c r="G72" s="57" t="str">
        <f>H69</f>
        <v>4.3.1, 4.3.2</v>
      </c>
      <c r="H72" s="57" t="str">
        <f>A76</f>
        <v>4.5 </v>
      </c>
      <c r="I72" s="4">
        <f>IF(Gantt4567[[#This Row],[Start]]="","-",NETWORKDAYS(Gantt4567[[#This Row],[Start]],Gantt4567[[#This Row],[End]],Holidays))</f>
        <v>3</v>
      </c>
      <c r="J72" s="65">
        <v>0</v>
      </c>
      <c r="K72" s="4">
        <f>IFERROR(Gantt4567[[#This Row],[End]]-Gantt4567[[#This Row],[Start]],0)</f>
        <v>2</v>
      </c>
      <c r="L72" s="77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6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</row>
    <row r="73" spans="1:455" s="30" customFormat="1" x14ac:dyDescent="0.35">
      <c r="A73" s="9" t="s">
        <v>90</v>
      </c>
      <c r="B73" t="s">
        <v>363</v>
      </c>
      <c r="C73" t="s">
        <v>253</v>
      </c>
      <c r="D73" s="29">
        <f>MAX(D74:D75)</f>
        <v>4</v>
      </c>
      <c r="E73" s="59">
        <f>WORKDAY(F61,1,Holidays)</f>
        <v>46203</v>
      </c>
      <c r="F73" s="59">
        <f>IF(D73=0,E73,WORKDAY(Gantt4567[[#This Row],[Start]],Gantt4567[[#This Row],[Duration (days)]]-1,Holidays))</f>
        <v>46206</v>
      </c>
      <c r="G73" s="57" t="str">
        <f>H61</f>
        <v>4.1.1, 4.1.2, 4.1.3</v>
      </c>
      <c r="H73" s="57" t="str">
        <f>_xlfn.TEXTJOIN(", ",TRUE,A74:A75)</f>
        <v>4.4.1, 4.4.2</v>
      </c>
      <c r="I73" s="4">
        <f>IF(Gantt4567[[#This Row],[Start]]="","-",NETWORKDAYS(Gantt4567[[#This Row],[Start]],Gantt4567[[#This Row],[End]],Holidays))</f>
        <v>4</v>
      </c>
      <c r="J73" s="65"/>
      <c r="K73" s="4">
        <f>IFERROR(Gantt4567[[#This Row],[End]]-Gantt4567[[#This Row],[Start]],0)</f>
        <v>3</v>
      </c>
      <c r="L73" s="77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6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</row>
    <row r="74" spans="1:455" s="30" customFormat="1" x14ac:dyDescent="0.35">
      <c r="A74" s="24" t="s">
        <v>91</v>
      </c>
      <c r="B74" t="s">
        <v>364</v>
      </c>
      <c r="C74" t="s">
        <v>254</v>
      </c>
      <c r="D74" s="56">
        <v>4</v>
      </c>
      <c r="E74" s="59">
        <f>E73</f>
        <v>46203</v>
      </c>
      <c r="F74" s="59">
        <f>IF(D74=0,E74,WORKDAY(Gantt4567[[#This Row],[Start]],Gantt4567[[#This Row],[Duration (days)]]-1,Holidays))</f>
        <v>46206</v>
      </c>
      <c r="G74" s="57" t="str">
        <f>A73</f>
        <v>4.4 </v>
      </c>
      <c r="H74" s="57" t="str">
        <f>A76</f>
        <v>4.5 </v>
      </c>
      <c r="I74" s="4">
        <f>IF(Gantt4567[[#This Row],[Start]]="","-",NETWORKDAYS(Gantt4567[[#This Row],[Start]],Gantt4567[[#This Row],[End]],Holidays))</f>
        <v>4</v>
      </c>
      <c r="J74" s="65"/>
      <c r="K74" s="4">
        <f>IFERROR(Gantt4567[[#This Row],[End]]-Gantt4567[[#This Row],[Start]],0)</f>
        <v>3</v>
      </c>
      <c r="L74" s="77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6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</row>
    <row r="75" spans="1:455" s="30" customFormat="1" x14ac:dyDescent="0.35">
      <c r="A75" s="24" t="s">
        <v>92</v>
      </c>
      <c r="B75" t="s">
        <v>365</v>
      </c>
      <c r="C75" t="s">
        <v>254</v>
      </c>
      <c r="D75" s="56">
        <v>4</v>
      </c>
      <c r="E75" s="59">
        <f>E73</f>
        <v>46203</v>
      </c>
      <c r="F75" s="59">
        <f>IF(D75=0,E75,WORKDAY(Gantt4567[[#This Row],[Start]],Gantt4567[[#This Row],[Duration (days)]]-1,Holidays))</f>
        <v>46206</v>
      </c>
      <c r="G75" s="57" t="str">
        <f>A73</f>
        <v>4.4 </v>
      </c>
      <c r="H75" s="57" t="str">
        <f>A76</f>
        <v>4.5 </v>
      </c>
      <c r="I75" s="4">
        <f>IF(Gantt4567[[#This Row],[Start]]="","-",NETWORKDAYS(Gantt4567[[#This Row],[Start]],Gantt4567[[#This Row],[End]],Holidays))</f>
        <v>4</v>
      </c>
      <c r="J75" s="65"/>
      <c r="K75" s="4">
        <f>IFERROR(Gantt4567[[#This Row],[End]]-Gantt4567[[#This Row],[Start]],0)</f>
        <v>3</v>
      </c>
      <c r="L75" s="77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6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</row>
    <row r="76" spans="1:455" s="30" customFormat="1" x14ac:dyDescent="0.35">
      <c r="A76" s="9" t="s">
        <v>93</v>
      </c>
      <c r="B76" t="s">
        <v>366</v>
      </c>
      <c r="C76" t="s">
        <v>253</v>
      </c>
      <c r="D76" s="29">
        <f>MAX(D77:D78)+D79+D80</f>
        <v>11</v>
      </c>
      <c r="E76" s="59">
        <f>WORKDAY(MAX(F65,F69,F73),1,Holidays)</f>
        <v>46212</v>
      </c>
      <c r="F76" s="59">
        <f>IF(D76=0,E76,WORKDAY(Gantt4567[[#This Row],[Start]],Gantt4567[[#This Row],[Duration (days)]]-1,Holidays))</f>
        <v>46226</v>
      </c>
      <c r="G76" s="57" t="str">
        <f>_xlfn.TEXTJOIN(", ",TRUE,A68,A72,A74:A75,)</f>
        <v>4.2.3, 4.3.3, 4.4.1, 4.4.2</v>
      </c>
      <c r="H76" s="57" t="str">
        <f>_xlfn.TEXTJOIN(", ",TRUE,A77:A78)</f>
        <v>4.5.1, 4.5.2</v>
      </c>
      <c r="I76" s="4">
        <f>IF(Gantt4567[[#This Row],[Start]]="","-",NETWORKDAYS(Gantt4567[[#This Row],[Start]],Gantt4567[[#This Row],[End]],Holidays))</f>
        <v>11</v>
      </c>
      <c r="J76" s="65">
        <v>0</v>
      </c>
      <c r="K76" s="4">
        <f>IFERROR(Gantt4567[[#This Row],[End]]-Gantt4567[[#This Row],[Start]],0)</f>
        <v>14</v>
      </c>
      <c r="L76" s="77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6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</row>
    <row r="77" spans="1:455" s="30" customFormat="1" x14ac:dyDescent="0.35">
      <c r="A77" s="24" t="s">
        <v>94</v>
      </c>
      <c r="B77" t="s">
        <v>367</v>
      </c>
      <c r="C77" t="s">
        <v>254</v>
      </c>
      <c r="D77" s="56">
        <v>4</v>
      </c>
      <c r="E77" s="59">
        <f>E76</f>
        <v>46212</v>
      </c>
      <c r="F77" s="59">
        <f>IF(D77=0,E77,WORKDAY(Gantt4567[[#This Row],[Start]],Gantt4567[[#This Row],[Duration (days)]]-1,Holidays))</f>
        <v>46217</v>
      </c>
      <c r="G77" s="57" t="str">
        <f>A76</f>
        <v>4.5 </v>
      </c>
      <c r="H77" s="57" t="str">
        <f>A79</f>
        <v>4.5.3</v>
      </c>
      <c r="I77" s="4">
        <f>IF(Gantt4567[[#This Row],[Start]]="","-",NETWORKDAYS(Gantt4567[[#This Row],[Start]],Gantt4567[[#This Row],[End]],Holidays))</f>
        <v>4</v>
      </c>
      <c r="J77" s="65">
        <v>0</v>
      </c>
      <c r="K77" s="4">
        <f>IFERROR(Gantt4567[[#This Row],[End]]-Gantt4567[[#This Row],[Start]],0)</f>
        <v>5</v>
      </c>
      <c r="L77" s="77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6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</row>
    <row r="78" spans="1:455" s="30" customFormat="1" x14ac:dyDescent="0.35">
      <c r="A78" s="24" t="s">
        <v>95</v>
      </c>
      <c r="B78" t="s">
        <v>368</v>
      </c>
      <c r="C78" t="s">
        <v>254</v>
      </c>
      <c r="D78" s="56">
        <v>3</v>
      </c>
      <c r="E78" s="59">
        <f>E76</f>
        <v>46212</v>
      </c>
      <c r="F78" s="59">
        <f>IF(D78=0,E78,WORKDAY(Gantt4567[[#This Row],[Start]],Gantt4567[[#This Row],[Duration (days)]]-1,Holidays))</f>
        <v>46216</v>
      </c>
      <c r="G78" s="57" t="str">
        <f>A76</f>
        <v>4.5 </v>
      </c>
      <c r="H78" s="57" t="str">
        <f>A79</f>
        <v>4.5.3</v>
      </c>
      <c r="I78" s="4">
        <f>IF(Gantt4567[[#This Row],[Start]]="","-",NETWORKDAYS(Gantt4567[[#This Row],[Start]],Gantt4567[[#This Row],[End]],Holidays))</f>
        <v>3</v>
      </c>
      <c r="J78" s="65"/>
      <c r="K78" s="4">
        <f>IFERROR(Gantt4567[[#This Row],[End]]-Gantt4567[[#This Row],[Start]],0)</f>
        <v>4</v>
      </c>
      <c r="L78" s="77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6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</row>
    <row r="79" spans="1:455" s="30" customFormat="1" x14ac:dyDescent="0.35">
      <c r="A79" s="11" t="s">
        <v>96</v>
      </c>
      <c r="B79" t="s">
        <v>369</v>
      </c>
      <c r="C79" t="s">
        <v>254</v>
      </c>
      <c r="D79" s="56">
        <v>3</v>
      </c>
      <c r="E79" s="59">
        <f>WORKDAY(F77,1,Holidays)</f>
        <v>46218</v>
      </c>
      <c r="F79" s="59">
        <f>IF(D79=0,E79,WORKDAY(Gantt4567[[#This Row],[Start]],Gantt4567[[#This Row],[Duration (days)]]-1,Holidays))</f>
        <v>46220</v>
      </c>
      <c r="G79" s="57" t="str">
        <f>H76</f>
        <v>4.5.1, 4.5.2</v>
      </c>
      <c r="H79" s="75" t="str">
        <f>A80</f>
        <v>4.5.4</v>
      </c>
      <c r="I79" s="4">
        <f>IF(Gantt4567[[#This Row],[Start]]="","-",NETWORKDAYS(Gantt4567[[#This Row],[Start]],Gantt4567[[#This Row],[End]],Holidays))</f>
        <v>3</v>
      </c>
      <c r="J79" s="65">
        <v>0</v>
      </c>
      <c r="K79" s="4">
        <f>IFERROR(Gantt4567[[#This Row],[End]]-Gantt4567[[#This Row],[Start]],0)</f>
        <v>2</v>
      </c>
      <c r="L79" s="77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6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</row>
    <row r="80" spans="1:455" s="30" customFormat="1" x14ac:dyDescent="0.35">
      <c r="A80" s="25" t="s">
        <v>258</v>
      </c>
      <c r="B80" t="s">
        <v>370</v>
      </c>
      <c r="C80" t="s">
        <v>254</v>
      </c>
      <c r="D80" s="56">
        <v>4</v>
      </c>
      <c r="E80" s="59">
        <f>WORKDAY(F79,1,Holidays)</f>
        <v>46223</v>
      </c>
      <c r="F80" s="59">
        <f>IF(D80=0,E80,WORKDAY(Gantt4567[[#This Row],[Start]],Gantt4567[[#This Row],[Duration (days)]]-1,Holidays))</f>
        <v>46226</v>
      </c>
      <c r="G80" s="57" t="str">
        <f>H78</f>
        <v>4.5.3</v>
      </c>
      <c r="H80" s="75" t="str">
        <f>A81</f>
        <v>4.6</v>
      </c>
      <c r="I80" s="4">
        <f>IF(Gantt4567[[#This Row],[Start]]="","-",NETWORKDAYS(Gantt4567[[#This Row],[Start]],Gantt4567[[#This Row],[End]],Holidays))</f>
        <v>4</v>
      </c>
      <c r="J80" s="65">
        <v>0</v>
      </c>
      <c r="K80" s="4">
        <f>IFERROR(Gantt4567[[#This Row],[End]]-Gantt4567[[#This Row],[Start]],0)</f>
        <v>3</v>
      </c>
      <c r="L80" s="77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6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</row>
    <row r="81" spans="1:455" s="30" customFormat="1" x14ac:dyDescent="0.35">
      <c r="A81" s="42" t="s">
        <v>97</v>
      </c>
      <c r="B81" s="38" t="s">
        <v>411</v>
      </c>
      <c r="C81" s="38" t="s">
        <v>257</v>
      </c>
      <c r="D81" s="56">
        <v>0</v>
      </c>
      <c r="E81" s="59">
        <f>F80</f>
        <v>46226</v>
      </c>
      <c r="F81" s="59">
        <f>IF(D81=0,E81,WORKDAY(Gantt4567[[#This Row],[Start]],Gantt4567[[#This Row],[Duration (days)]]-1,Holidays))</f>
        <v>46226</v>
      </c>
      <c r="G81" s="75" t="str">
        <f>H79</f>
        <v>4.5.4</v>
      </c>
      <c r="H81" s="57" t="str">
        <f>A82</f>
        <v>5.0 </v>
      </c>
      <c r="I81" s="4">
        <v>0</v>
      </c>
      <c r="J81" s="65">
        <v>0</v>
      </c>
      <c r="K81" s="4">
        <f>IFERROR(Gantt4567[[#This Row],[End]]-Gantt4567[[#This Row],[Start]],0)</f>
        <v>0</v>
      </c>
      <c r="L81" s="77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6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4"/>
      <c r="QL81" s="4"/>
      <c r="QM81" s="4"/>
    </row>
    <row r="82" spans="1:455" s="30" customFormat="1" x14ac:dyDescent="0.35">
      <c r="A82" s="6" t="s">
        <v>98</v>
      </c>
      <c r="B82" s="5" t="s">
        <v>315</v>
      </c>
      <c r="C82" s="5" t="s">
        <v>255</v>
      </c>
      <c r="D82" s="61">
        <f>MAX(D98,MAX(D83,NETWORKDAYS(E83,MAX(F83,F88),Holidays))+D93+D102)+D106+D110+D114</f>
        <v>75</v>
      </c>
      <c r="E82" s="58">
        <f>WORKDAY(F60,1,Holidays)</f>
        <v>46227</v>
      </c>
      <c r="F82" s="58">
        <f>F117</f>
        <v>46332</v>
      </c>
      <c r="G82" s="75" t="str">
        <f>H80</f>
        <v>4.6</v>
      </c>
      <c r="H82" s="57" t="str">
        <f>_xlfn.TEXTJOIN(", ",TRUE,A83,A88,A98)</f>
        <v>5.1 , 5.2 , 5.4 </v>
      </c>
      <c r="I82" s="4">
        <f>IF(Gantt4567[[#This Row],[Start]]="","-",NETWORKDAYS(Gantt4567[[#This Row],[Start]],Gantt4567[[#This Row],[End]],Holidays))</f>
        <v>75</v>
      </c>
      <c r="J82" s="65">
        <v>0</v>
      </c>
      <c r="K82" s="4">
        <f>IFERROR(Gantt4567[[#This Row],[End]]-Gantt4567[[#This Row],[Start]],0)</f>
        <v>105</v>
      </c>
      <c r="L82" s="77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4"/>
      <c r="OH82" s="4"/>
      <c r="OI82" s="4"/>
      <c r="OJ82" s="4"/>
      <c r="OK82" s="4"/>
      <c r="OL82" s="4"/>
      <c r="OM82" s="4"/>
      <c r="ON82" s="4"/>
      <c r="OO82" s="4"/>
      <c r="OP82" s="4"/>
      <c r="OQ82" s="4"/>
      <c r="OR82" s="4"/>
      <c r="OS82" s="4"/>
      <c r="OT82" s="4"/>
      <c r="OU82" s="4"/>
      <c r="OV82" s="4"/>
      <c r="OW82" s="4"/>
      <c r="OX82" s="4"/>
      <c r="OY82" s="4"/>
      <c r="OZ82" s="4"/>
      <c r="PA82" s="4"/>
      <c r="PB82" s="4"/>
      <c r="PC82" s="4"/>
      <c r="PD82" s="4"/>
      <c r="PE82" s="4"/>
      <c r="PF82" s="4"/>
      <c r="PG82" s="4"/>
      <c r="PH82" s="4"/>
      <c r="PI82" s="4"/>
      <c r="PJ82" s="4"/>
      <c r="PK82" s="4"/>
      <c r="PL82" s="4"/>
      <c r="PM82" s="4"/>
      <c r="PN82" s="4"/>
      <c r="PO82" s="46"/>
      <c r="PP82" s="4"/>
      <c r="PQ82" s="4"/>
      <c r="PR82" s="4"/>
      <c r="PS82" s="4"/>
      <c r="PT82" s="4"/>
      <c r="PU82" s="4"/>
      <c r="PV82" s="4"/>
      <c r="PW82" s="4"/>
      <c r="PX82" s="4"/>
      <c r="PY82" s="4"/>
      <c r="PZ82" s="4"/>
      <c r="QA82" s="4"/>
      <c r="QB82" s="4"/>
      <c r="QC82" s="4"/>
      <c r="QD82" s="4"/>
      <c r="QE82" s="4"/>
      <c r="QF82" s="4"/>
      <c r="QG82" s="4"/>
      <c r="QH82" s="4"/>
      <c r="QI82" s="4"/>
      <c r="QJ82" s="4"/>
      <c r="QK82" s="4"/>
      <c r="QL82" s="4"/>
      <c r="QM82" s="4"/>
    </row>
    <row r="83" spans="1:455" s="30" customFormat="1" x14ac:dyDescent="0.35">
      <c r="A83" s="9" t="s">
        <v>99</v>
      </c>
      <c r="B83" t="s">
        <v>316</v>
      </c>
      <c r="C83" t="s">
        <v>253</v>
      </c>
      <c r="D83" s="29">
        <f>MAX(D84:D85)+D86+D87</f>
        <v>11</v>
      </c>
      <c r="E83" s="59">
        <f>E82</f>
        <v>46227</v>
      </c>
      <c r="F83" s="59">
        <f>IF(D83=0,E83,WORKDAY(Gantt4567[[#This Row],[Start]],Gantt4567[[#This Row],[Duration (days)]]-1,Holidays))</f>
        <v>46241</v>
      </c>
      <c r="G83" s="57" t="str">
        <f>H81</f>
        <v>5.0 </v>
      </c>
      <c r="H83" s="57" t="str">
        <f>_xlfn.TEXTJOIN(", ",TRUE,A84:A85)</f>
        <v>5.1.1, 5.1.2</v>
      </c>
      <c r="I83" s="4">
        <f>IF(Gantt4567[[#This Row],[Start]]="","-",NETWORKDAYS(Gantt4567[[#This Row],[Start]],Gantt4567[[#This Row],[End]],Holidays))</f>
        <v>11</v>
      </c>
      <c r="J83" s="65">
        <v>0</v>
      </c>
      <c r="K83" s="4">
        <f>IFERROR(Gantt4567[[#This Row],[End]]-Gantt4567[[#This Row],[Start]],0)</f>
        <v>14</v>
      </c>
      <c r="L83" s="77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6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</row>
    <row r="84" spans="1:455" s="30" customFormat="1" x14ac:dyDescent="0.35">
      <c r="A84" s="24" t="s">
        <v>100</v>
      </c>
      <c r="B84" t="s">
        <v>317</v>
      </c>
      <c r="C84" t="s">
        <v>254</v>
      </c>
      <c r="D84" s="56">
        <v>4</v>
      </c>
      <c r="E84" s="59">
        <f>E83</f>
        <v>46227</v>
      </c>
      <c r="F84" s="59">
        <f>IF(D84=0,E84,WORKDAY(Gantt4567[[#This Row],[Start]],Gantt4567[[#This Row],[Duration (days)]]-1,Holidays))</f>
        <v>46232</v>
      </c>
      <c r="G84" s="57" t="str">
        <f>A83</f>
        <v>5.1 </v>
      </c>
      <c r="H84" s="57" t="str">
        <f>A86</f>
        <v>5.1.3</v>
      </c>
      <c r="I84" s="4">
        <f>IF(Gantt4567[[#This Row],[Start]]="","-",NETWORKDAYS(Gantt4567[[#This Row],[Start]],Gantt4567[[#This Row],[End]],Holidays))</f>
        <v>4</v>
      </c>
      <c r="J84" s="65">
        <v>0</v>
      </c>
      <c r="K84" s="4">
        <f>IFERROR(Gantt4567[[#This Row],[End]]-Gantt4567[[#This Row],[Start]],0)</f>
        <v>5</v>
      </c>
      <c r="L84" s="77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6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4"/>
      <c r="QL84" s="4"/>
      <c r="QM84" s="4"/>
    </row>
    <row r="85" spans="1:455" s="30" customFormat="1" x14ac:dyDescent="0.35">
      <c r="A85" s="24" t="s">
        <v>101</v>
      </c>
      <c r="B85" t="s">
        <v>318</v>
      </c>
      <c r="C85" t="s">
        <v>254</v>
      </c>
      <c r="D85" s="56">
        <v>4</v>
      </c>
      <c r="E85" s="59">
        <f>E83</f>
        <v>46227</v>
      </c>
      <c r="F85" s="59">
        <f>IF(D85=0,E85,WORKDAY(Gantt4567[[#This Row],[Start]],Gantt4567[[#This Row],[Duration (days)]]-1,Holidays))</f>
        <v>46232</v>
      </c>
      <c r="G85" s="57" t="str">
        <f>A83</f>
        <v>5.1 </v>
      </c>
      <c r="H85" s="57" t="str">
        <f>A86</f>
        <v>5.1.3</v>
      </c>
      <c r="I85" s="4">
        <f>IF(Gantt4567[[#This Row],[Start]]="","-",NETWORKDAYS(Gantt4567[[#This Row],[Start]],Gantt4567[[#This Row],[End]],Holidays))</f>
        <v>4</v>
      </c>
      <c r="J85" s="65">
        <v>0</v>
      </c>
      <c r="K85" s="4">
        <f>IFERROR(Gantt4567[[#This Row],[End]]-Gantt4567[[#This Row],[Start]],0)</f>
        <v>5</v>
      </c>
      <c r="L85" s="77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6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</row>
    <row r="86" spans="1:455" s="30" customFormat="1" x14ac:dyDescent="0.35">
      <c r="A86" s="11" t="s">
        <v>102</v>
      </c>
      <c r="B86" t="s">
        <v>319</v>
      </c>
      <c r="C86" t="s">
        <v>254</v>
      </c>
      <c r="D86" s="56">
        <v>5</v>
      </c>
      <c r="E86" s="59">
        <f>WORKDAY(F84,1,Holidays)</f>
        <v>46233</v>
      </c>
      <c r="F86" s="59">
        <f>IF(D86=0,E86,WORKDAY(Gantt4567[[#This Row],[Start]],Gantt4567[[#This Row],[Duration (days)]]-1,Holidays))</f>
        <v>46239</v>
      </c>
      <c r="G86" s="57" t="str">
        <f>H83</f>
        <v>5.1.1, 5.1.2</v>
      </c>
      <c r="H86" s="57" t="str">
        <f>_xlfn.TEXTJOIN(", ",TRUE,A87,A91)</f>
        <v>5.1.4, 5.2.3</v>
      </c>
      <c r="I86" s="4">
        <f>IF(Gantt4567[[#This Row],[Start]]="","-",NETWORKDAYS(Gantt4567[[#This Row],[Start]],Gantt4567[[#This Row],[End]],Holidays))</f>
        <v>5</v>
      </c>
      <c r="J86" s="65">
        <v>0</v>
      </c>
      <c r="K86" s="4">
        <f>IFERROR(Gantt4567[[#This Row],[End]]-Gantt4567[[#This Row],[Start]],0)</f>
        <v>6</v>
      </c>
      <c r="L86" s="77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6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</row>
    <row r="87" spans="1:455" s="30" customFormat="1" x14ac:dyDescent="0.35">
      <c r="A87" s="11" t="s">
        <v>103</v>
      </c>
      <c r="B87" t="s">
        <v>320</v>
      </c>
      <c r="C87" t="s">
        <v>254</v>
      </c>
      <c r="D87" s="56">
        <v>2</v>
      </c>
      <c r="E87" s="59">
        <f>WORKDAY(F86,1,Holidays)</f>
        <v>46240</v>
      </c>
      <c r="F87" s="59">
        <f>IF(D87=0,E87,WORKDAY(Gantt4567[[#This Row],[Start]],Gantt4567[[#This Row],[Duration (days)]]-1,Holidays))</f>
        <v>46241</v>
      </c>
      <c r="G87" s="57" t="str">
        <f>H84</f>
        <v>5.1.3</v>
      </c>
      <c r="H87" s="57" t="str">
        <f>A92</f>
        <v>5.2.4</v>
      </c>
      <c r="I87" s="4">
        <f>IF(Gantt4567[[#This Row],[Start]]="","-",NETWORKDAYS(Gantt4567[[#This Row],[Start]],Gantt4567[[#This Row],[End]],Holidays))</f>
        <v>2</v>
      </c>
      <c r="J87" s="65"/>
      <c r="K87" s="4">
        <f>IFERROR(Gantt4567[[#This Row],[End]]-Gantt4567[[#This Row],[Start]],0)</f>
        <v>1</v>
      </c>
      <c r="L87" s="77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6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</row>
    <row r="88" spans="1:455" s="30" customFormat="1" x14ac:dyDescent="0.35">
      <c r="A88" s="9" t="s">
        <v>104</v>
      </c>
      <c r="B88" t="s">
        <v>321</v>
      </c>
      <c r="C88" t="s">
        <v>253</v>
      </c>
      <c r="D88" s="29">
        <f>MAX(D89:D90)+D91+D92+(NETWORKDAYS(E83,MAX(F83,F92),Holidays)-NETWORKDAYS(E83,MAX(F83,F92),Holidays))</f>
        <v>10</v>
      </c>
      <c r="E88" s="59">
        <f>E82</f>
        <v>46227</v>
      </c>
      <c r="F88" s="59">
        <f>MAX(IF(D88=0,E88,WORKDAY(Gantt4567[[#This Row],[Start]],Gantt4567[[#This Row],[Duration (days)]]-1,Holidays)),F92)</f>
        <v>46247</v>
      </c>
      <c r="G88" s="57" t="str">
        <f>H81</f>
        <v>5.0 </v>
      </c>
      <c r="H88" s="57" t="str">
        <f>_xlfn.TEXTJOIN(", ",TRUE,A89:A90)</f>
        <v>5.2.1, 5.2.2</v>
      </c>
      <c r="I88" s="4">
        <f>IF(Gantt4567[[#This Row],[Start]]="","-",NETWORKDAYS(Gantt4567[[#This Row],[Start]],Gantt4567[[#This Row],[End]],Holidays))</f>
        <v>15</v>
      </c>
      <c r="J88" s="65"/>
      <c r="K88" s="4">
        <f>IFERROR(Gantt4567[[#This Row],[End]]-Gantt4567[[#This Row],[Start]],0)</f>
        <v>20</v>
      </c>
      <c r="L88" s="77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6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</row>
    <row r="89" spans="1:455" s="30" customFormat="1" x14ac:dyDescent="0.35">
      <c r="A89" s="24" t="s">
        <v>105</v>
      </c>
      <c r="B89" t="s">
        <v>322</v>
      </c>
      <c r="C89" t="s">
        <v>254</v>
      </c>
      <c r="D89" s="56">
        <v>4</v>
      </c>
      <c r="E89" s="59">
        <f>E88</f>
        <v>46227</v>
      </c>
      <c r="F89" s="59">
        <f>IF(D89=0,E89,WORKDAY(Gantt4567[[#This Row],[Start]],Gantt4567[[#This Row],[Duration (days)]]-1,Holidays))</f>
        <v>46232</v>
      </c>
      <c r="G89" s="57" t="str">
        <f>A88</f>
        <v>5.2 </v>
      </c>
      <c r="H89" s="57" t="str">
        <f>A91</f>
        <v>5.2.3</v>
      </c>
      <c r="I89" s="4">
        <f>IF(Gantt4567[[#This Row],[Start]]="","-",NETWORKDAYS(Gantt4567[[#This Row],[Start]],Gantt4567[[#This Row],[End]],Holidays))</f>
        <v>4</v>
      </c>
      <c r="J89" s="65"/>
      <c r="K89" s="4">
        <f>IFERROR(Gantt4567[[#This Row],[End]]-Gantt4567[[#This Row],[Start]],0)</f>
        <v>5</v>
      </c>
      <c r="L89" s="77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6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</row>
    <row r="90" spans="1:455" s="30" customFormat="1" x14ac:dyDescent="0.35">
      <c r="A90" s="24" t="s">
        <v>106</v>
      </c>
      <c r="B90" t="s">
        <v>323</v>
      </c>
      <c r="C90" t="s">
        <v>254</v>
      </c>
      <c r="D90" s="56">
        <v>4</v>
      </c>
      <c r="E90" s="59">
        <f>E88</f>
        <v>46227</v>
      </c>
      <c r="F90" s="59">
        <f>IF(D90=0,E90,WORKDAY(Gantt4567[[#This Row],[Start]],Gantt4567[[#This Row],[Duration (days)]]-1,Holidays))</f>
        <v>46232</v>
      </c>
      <c r="G90" s="57" t="str">
        <f>A88</f>
        <v>5.2 </v>
      </c>
      <c r="H90" s="57" t="str">
        <f>A91</f>
        <v>5.2.3</v>
      </c>
      <c r="I90" s="4">
        <f>IF(Gantt4567[[#This Row],[Start]]="","-",NETWORKDAYS(Gantt4567[[#This Row],[Start]],Gantt4567[[#This Row],[End]],Holidays))</f>
        <v>4</v>
      </c>
      <c r="J90" s="65"/>
      <c r="K90" s="4">
        <f>IFERROR(Gantt4567[[#This Row],[End]]-Gantt4567[[#This Row],[Start]],0)</f>
        <v>5</v>
      </c>
      <c r="L90" s="77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6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</row>
    <row r="91" spans="1:455" s="30" customFormat="1" x14ac:dyDescent="0.35">
      <c r="A91" s="11" t="s">
        <v>107</v>
      </c>
      <c r="B91" t="s">
        <v>324</v>
      </c>
      <c r="C91" t="s">
        <v>254</v>
      </c>
      <c r="D91" s="56">
        <v>4</v>
      </c>
      <c r="E91" s="59">
        <f>WORKDAY(MAX(F89,F86),1,Holidays)</f>
        <v>46240</v>
      </c>
      <c r="F91" s="59">
        <f>IF(D91=0,E91,WORKDAY(Gantt4567[[#This Row],[Start]],Gantt4567[[#This Row],[Duration (days)]]-1,Holidays))</f>
        <v>46245</v>
      </c>
      <c r="G91" s="57" t="str">
        <f>_xlfn.TEXTJOIN(", ",TRUE,A86,H88,)</f>
        <v>5.1.3, 5.2.1, 5.2.2</v>
      </c>
      <c r="H91" s="57" t="str">
        <f>_xlfn.TEXTJOIN(", ",TRUE,A92,A100)</f>
        <v>5.2.4, 5.4.2</v>
      </c>
      <c r="I91" s="4">
        <f>IF(Gantt4567[[#This Row],[Start]]="","-",NETWORKDAYS(Gantt4567[[#This Row],[Start]],Gantt4567[[#This Row],[End]],Holidays))</f>
        <v>4</v>
      </c>
      <c r="J91" s="65">
        <v>0</v>
      </c>
      <c r="K91" s="4">
        <f>IFERROR(Gantt4567[[#This Row],[End]]-Gantt4567[[#This Row],[Start]],0)</f>
        <v>5</v>
      </c>
      <c r="L91" s="77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6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</row>
    <row r="92" spans="1:455" s="30" customFormat="1" x14ac:dyDescent="0.35">
      <c r="A92" s="11" t="s">
        <v>108</v>
      </c>
      <c r="B92" t="s">
        <v>325</v>
      </c>
      <c r="C92" t="s">
        <v>254</v>
      </c>
      <c r="D92" s="56">
        <v>2</v>
      </c>
      <c r="E92" s="59">
        <f>WORKDAY(MAX(F91,F87),1,Holidays)</f>
        <v>46246</v>
      </c>
      <c r="F92" s="59">
        <f>IF(D92=0,E92,WORKDAY(Gantt4567[[#This Row],[Start]],Gantt4567[[#This Row],[Duration (days)]]-1,Holidays))</f>
        <v>46247</v>
      </c>
      <c r="G92" s="57" t="str">
        <f>_xlfn.TEXTJOIN(", ",TRUE,A87,H89)</f>
        <v>5.1.4, 5.2.3</v>
      </c>
      <c r="H92" s="57" t="str">
        <f>_xlfn.TEXTJOIN(", ",TRUE,A93,A101)</f>
        <v>5.3 , 5.4.3</v>
      </c>
      <c r="I92" s="4">
        <f>IF(Gantt4567[[#This Row],[Start]]="","-",NETWORKDAYS(Gantt4567[[#This Row],[Start]],Gantt4567[[#This Row],[End]],Holidays))</f>
        <v>2</v>
      </c>
      <c r="J92" s="65">
        <v>0</v>
      </c>
      <c r="K92" s="4">
        <f>IFERROR(Gantt4567[[#This Row],[End]]-Gantt4567[[#This Row],[Start]],0)</f>
        <v>1</v>
      </c>
      <c r="L92" s="77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6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</row>
    <row r="93" spans="1:455" s="30" customFormat="1" x14ac:dyDescent="0.35">
      <c r="A93" s="9" t="s">
        <v>109</v>
      </c>
      <c r="B93" t="s">
        <v>326</v>
      </c>
      <c r="C93" t="s">
        <v>253</v>
      </c>
      <c r="D93" s="29">
        <f>MAX(D94:D95)+D96+D97</f>
        <v>12</v>
      </c>
      <c r="E93" s="59">
        <f>WORKDAY(F92,1,Holidays)</f>
        <v>46248</v>
      </c>
      <c r="F93" s="59">
        <f>IF(D93=0,E93,WORKDAY(Gantt4567[[#This Row],[Start]],Gantt4567[[#This Row],[Duration (days)]]-1,Holidays))</f>
        <v>46265</v>
      </c>
      <c r="G93" s="57" t="str">
        <f>A92</f>
        <v>5.2.4</v>
      </c>
      <c r="H93" s="57" t="str">
        <f>_xlfn.TEXTJOIN(", ",TRUE,A94:A95)</f>
        <v>5.3.1, 5.3.2</v>
      </c>
      <c r="I93" s="4">
        <f>IF(Gantt4567[[#This Row],[Start]]="","-",NETWORKDAYS(Gantt4567[[#This Row],[Start]],Gantt4567[[#This Row],[End]],Holidays))</f>
        <v>12</v>
      </c>
      <c r="J93" s="65">
        <v>0</v>
      </c>
      <c r="K93" s="4">
        <f>IFERROR(Gantt4567[[#This Row],[End]]-Gantt4567[[#This Row],[Start]],0)</f>
        <v>17</v>
      </c>
      <c r="L93" s="77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6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</row>
    <row r="94" spans="1:455" s="30" customFormat="1" x14ac:dyDescent="0.35">
      <c r="A94" s="24" t="s">
        <v>110</v>
      </c>
      <c r="B94" t="s">
        <v>327</v>
      </c>
      <c r="C94" t="s">
        <v>254</v>
      </c>
      <c r="D94" s="56">
        <v>4</v>
      </c>
      <c r="E94" s="59">
        <f>E93</f>
        <v>46248</v>
      </c>
      <c r="F94" s="59">
        <f>IF(D94=0,E94,WORKDAY(Gantt4567[[#This Row],[Start]],Gantt4567[[#This Row],[Duration (days)]]-1,Holidays))</f>
        <v>46253</v>
      </c>
      <c r="G94" s="57" t="str">
        <f>A93</f>
        <v>5.3 </v>
      </c>
      <c r="H94" s="57" t="str">
        <f>A96</f>
        <v>5.3.3</v>
      </c>
      <c r="I94" s="4">
        <f>IF(Gantt4567[[#This Row],[Start]]="","-",NETWORKDAYS(Gantt4567[[#This Row],[Start]],Gantt4567[[#This Row],[End]],Holidays))</f>
        <v>4</v>
      </c>
      <c r="J94" s="65">
        <v>0</v>
      </c>
      <c r="K94" s="4">
        <f>IFERROR(Gantt4567[[#This Row],[End]]-Gantt4567[[#This Row],[Start]],0)</f>
        <v>5</v>
      </c>
      <c r="L94" s="77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6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</row>
    <row r="95" spans="1:455" s="30" customFormat="1" x14ac:dyDescent="0.35">
      <c r="A95" s="24" t="s">
        <v>111</v>
      </c>
      <c r="B95" t="s">
        <v>328</v>
      </c>
      <c r="C95" t="s">
        <v>254</v>
      </c>
      <c r="D95" s="56">
        <v>4</v>
      </c>
      <c r="E95" s="59">
        <f>E93</f>
        <v>46248</v>
      </c>
      <c r="F95" s="59">
        <f>IF(D95=0,E95,WORKDAY(Gantt4567[[#This Row],[Start]],Gantt4567[[#This Row],[Duration (days)]]-1,Holidays))</f>
        <v>46253</v>
      </c>
      <c r="G95" s="57" t="str">
        <f>A93</f>
        <v>5.3 </v>
      </c>
      <c r="H95" s="57" t="str">
        <f>A96</f>
        <v>5.3.3</v>
      </c>
      <c r="I95" s="4">
        <f>IF(Gantt4567[[#This Row],[Start]]="","-",NETWORKDAYS(Gantt4567[[#This Row],[Start]],Gantt4567[[#This Row],[End]],Holidays))</f>
        <v>4</v>
      </c>
      <c r="J95" s="65">
        <v>0</v>
      </c>
      <c r="K95" s="4">
        <f>IFERROR(Gantt4567[[#This Row],[End]]-Gantt4567[[#This Row],[Start]],0)</f>
        <v>5</v>
      </c>
      <c r="L95" s="77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6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</row>
    <row r="96" spans="1:455" s="30" customFormat="1" x14ac:dyDescent="0.35">
      <c r="A96" s="11" t="s">
        <v>112</v>
      </c>
      <c r="B96" t="s">
        <v>329</v>
      </c>
      <c r="C96" t="s">
        <v>254</v>
      </c>
      <c r="D96" s="56">
        <v>6</v>
      </c>
      <c r="E96" s="59">
        <f>WORKDAY(F94,1,Holidays)</f>
        <v>46254</v>
      </c>
      <c r="F96" s="59">
        <f>IF(D96=0,E96,WORKDAY(Gantt4567[[#This Row],[Start]],Gantt4567[[#This Row],[Duration (days)]]-1,Holidays))</f>
        <v>46261</v>
      </c>
      <c r="G96" s="57" t="str">
        <f>H93</f>
        <v>5.3.1, 5.3.2</v>
      </c>
      <c r="H96" s="57" t="str">
        <f>_xlfn.TEXTJOIN(", ",TRUE,A97,A102)</f>
        <v>5.3.4, 5.5 </v>
      </c>
      <c r="I96" s="4">
        <f>IF(Gantt4567[[#This Row],[Start]]="","-",NETWORKDAYS(Gantt4567[[#This Row],[Start]],Gantt4567[[#This Row],[End]],Holidays))</f>
        <v>6</v>
      </c>
      <c r="J96" s="65">
        <v>0</v>
      </c>
      <c r="K96" s="4">
        <f>IFERROR(Gantt4567[[#This Row],[End]]-Gantt4567[[#This Row],[Start]],0)</f>
        <v>7</v>
      </c>
      <c r="L96" s="77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6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</row>
    <row r="97" spans="1:455" s="30" customFormat="1" x14ac:dyDescent="0.35">
      <c r="A97" s="11" t="s">
        <v>113</v>
      </c>
      <c r="B97" t="s">
        <v>330</v>
      </c>
      <c r="C97" t="s">
        <v>254</v>
      </c>
      <c r="D97" s="56">
        <v>2</v>
      </c>
      <c r="E97" s="59">
        <f>WORKDAY(F96,1,Holidays)</f>
        <v>46262</v>
      </c>
      <c r="F97" s="59">
        <f>IF(D97=0,E97,WORKDAY(Gantt4567[[#This Row],[Start]],Gantt4567[[#This Row],[Duration (days)]]-1,Holidays))</f>
        <v>46265</v>
      </c>
      <c r="G97" s="57" t="str">
        <f>H94</f>
        <v>5.3.3</v>
      </c>
      <c r="H97" s="57" t="str">
        <f>A104</f>
        <v>5.5.2</v>
      </c>
      <c r="I97" s="4">
        <f>IF(Gantt4567[[#This Row],[Start]]="","-",NETWORKDAYS(Gantt4567[[#This Row],[Start]],Gantt4567[[#This Row],[End]],Holidays))</f>
        <v>2</v>
      </c>
      <c r="J97" s="65">
        <v>0</v>
      </c>
      <c r="K97" s="4">
        <f>IFERROR(Gantt4567[[#This Row],[End]]-Gantt4567[[#This Row],[Start]],0)</f>
        <v>3</v>
      </c>
      <c r="L97" s="77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6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</row>
    <row r="98" spans="1:455" s="30" customFormat="1" x14ac:dyDescent="0.35">
      <c r="A98" s="9" t="s">
        <v>114</v>
      </c>
      <c r="B98" t="s">
        <v>331</v>
      </c>
      <c r="C98" t="s">
        <v>253</v>
      </c>
      <c r="D98" s="29">
        <f>SUM(D99:D101)+(NETWORKDAYS(E99,MAX(F101,F92),Holidays)-NETWORKDAYS(E99,MAX(F101,F92),Holidays))</f>
        <v>10</v>
      </c>
      <c r="E98" s="59">
        <f>E82</f>
        <v>46227</v>
      </c>
      <c r="F98" s="59">
        <f>MAX(IF(D98=0,E98,WORKDAY(Gantt4567[[#This Row],[Start]],Gantt4567[[#This Row],[Duration (days)]]-1,Holidays)),F101)</f>
        <v>46253</v>
      </c>
      <c r="G98" s="57" t="str">
        <f>H81</f>
        <v>5.0 </v>
      </c>
      <c r="H98" s="57" t="str">
        <f>A99</f>
        <v>5.4.1</v>
      </c>
      <c r="I98" s="4">
        <f>IF(Gantt4567[[#This Row],[Start]]="","-",NETWORKDAYS(Gantt4567[[#This Row],[Start]],Gantt4567[[#This Row],[End]],Holidays))</f>
        <v>19</v>
      </c>
      <c r="J98" s="65"/>
      <c r="K98" s="4">
        <f>IFERROR(Gantt4567[[#This Row],[End]]-Gantt4567[[#This Row],[Start]],0)</f>
        <v>26</v>
      </c>
      <c r="L98" s="77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6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</row>
    <row r="99" spans="1:455" s="30" customFormat="1" x14ac:dyDescent="0.35">
      <c r="A99" s="11" t="s">
        <v>115</v>
      </c>
      <c r="B99" t="s">
        <v>332</v>
      </c>
      <c r="C99" t="s">
        <v>254</v>
      </c>
      <c r="D99" s="56">
        <v>4</v>
      </c>
      <c r="E99" s="59">
        <f>E98</f>
        <v>46227</v>
      </c>
      <c r="F99" s="59">
        <f>IF(D99=0,E99,WORKDAY(Gantt4567[[#This Row],[Start]],Gantt4567[[#This Row],[Duration (days)]]-1,Holidays))</f>
        <v>46232</v>
      </c>
      <c r="G99" s="57" t="str">
        <f>A98</f>
        <v>5.4 </v>
      </c>
      <c r="H99" s="57" t="str">
        <f>A100</f>
        <v>5.4.2</v>
      </c>
      <c r="I99" s="4">
        <f>IF(Gantt4567[[#This Row],[Start]]="","-",NETWORKDAYS(Gantt4567[[#This Row],[Start]],Gantt4567[[#This Row],[End]],Holidays))</f>
        <v>4</v>
      </c>
      <c r="J99" s="65"/>
      <c r="K99" s="4">
        <f>IFERROR(Gantt4567[[#This Row],[End]]-Gantt4567[[#This Row],[Start]],0)</f>
        <v>5</v>
      </c>
      <c r="L99" s="77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6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</row>
    <row r="100" spans="1:455" s="30" customFormat="1" x14ac:dyDescent="0.35">
      <c r="A100" s="11" t="s">
        <v>116</v>
      </c>
      <c r="B100" t="s">
        <v>333</v>
      </c>
      <c r="C100" t="s">
        <v>254</v>
      </c>
      <c r="D100" s="56">
        <v>4</v>
      </c>
      <c r="E100" s="59">
        <f>WORKDAY(MAX(F99,F91),1,Holidays)</f>
        <v>46246</v>
      </c>
      <c r="F100" s="59">
        <f>IF(D100=0,E100,WORKDAY(Gantt4567[[#This Row],[Start]],Gantt4567[[#This Row],[Duration (days)]]-1,Holidays))</f>
        <v>46251</v>
      </c>
      <c r="G100" s="57" t="str">
        <f>_xlfn.TEXTJOIN(", ",TRUE,A91,A99)</f>
        <v>5.2.3, 5.4.1</v>
      </c>
      <c r="H100" s="57" t="str">
        <f>A101</f>
        <v>5.4.3</v>
      </c>
      <c r="I100" s="4">
        <f>IF(Gantt4567[[#This Row],[Start]]="","-",NETWORKDAYS(Gantt4567[[#This Row],[Start]],Gantt4567[[#This Row],[End]],Holidays))</f>
        <v>4</v>
      </c>
      <c r="J100" s="65"/>
      <c r="K100" s="4">
        <f>IFERROR(Gantt4567[[#This Row],[End]]-Gantt4567[[#This Row],[Start]],0)</f>
        <v>5</v>
      </c>
      <c r="L100" s="77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6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</row>
    <row r="101" spans="1:455" s="30" customFormat="1" x14ac:dyDescent="0.35">
      <c r="A101" s="11" t="s">
        <v>117</v>
      </c>
      <c r="B101" t="s">
        <v>334</v>
      </c>
      <c r="C101" t="s">
        <v>254</v>
      </c>
      <c r="D101" s="56">
        <v>2</v>
      </c>
      <c r="E101" s="59">
        <f>WORKDAY(MAX(F100,F92),1,Holidays)</f>
        <v>46252</v>
      </c>
      <c r="F101" s="59">
        <f>IF(D101=0,E101,WORKDAY(Gantt4567[[#This Row],[Start]],Gantt4567[[#This Row],[Duration (days)]]-1,Holidays))</f>
        <v>46253</v>
      </c>
      <c r="G101" s="57" t="str">
        <f>_xlfn.TEXTJOIN(", ",TRUE,A92,H99)</f>
        <v>5.2.4, 5.4.2</v>
      </c>
      <c r="H101" s="57" t="str">
        <f>A106</f>
        <v>5.6 </v>
      </c>
      <c r="I101" s="4">
        <f>IF(Gantt4567[[#This Row],[Start]]="","-",NETWORKDAYS(Gantt4567[[#This Row],[Start]],Gantt4567[[#This Row],[End]],Holidays))</f>
        <v>2</v>
      </c>
      <c r="J101" s="65"/>
      <c r="K101" s="4">
        <f>IFERROR(Gantt4567[[#This Row],[End]]-Gantt4567[[#This Row],[Start]],0)</f>
        <v>1</v>
      </c>
      <c r="L101" s="77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6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</row>
    <row r="102" spans="1:455" s="30" customFormat="1" x14ac:dyDescent="0.35">
      <c r="A102" s="9" t="s">
        <v>118</v>
      </c>
      <c r="B102" t="s">
        <v>335</v>
      </c>
      <c r="C102" t="s">
        <v>253</v>
      </c>
      <c r="D102" s="29">
        <f>MAX(D103:D104)+D105</f>
        <v>6</v>
      </c>
      <c r="E102" s="59">
        <f>WORKDAY(F96,1,Holidays)</f>
        <v>46262</v>
      </c>
      <c r="F102" s="59">
        <f>MAX(IF(D102=0,E102,WORKDAY(Gantt4567[[#This Row],[Start]],Gantt4567[[#This Row],[Duration (days)]]-1,Holidays)),F105)</f>
        <v>46273</v>
      </c>
      <c r="G102" s="57" t="str">
        <f>H94</f>
        <v>5.3.3</v>
      </c>
      <c r="H102" s="57" t="str">
        <f>_xlfn.TEXTJOIN(", ",TRUE,A103:A104)</f>
        <v>5.5.1, 5.5.2</v>
      </c>
      <c r="I102" s="4">
        <f>IF(Gantt4567[[#This Row],[Start]]="","-",NETWORKDAYS(Gantt4567[[#This Row],[Start]],Gantt4567[[#This Row],[End]],Holidays))</f>
        <v>8</v>
      </c>
      <c r="J102" s="65"/>
      <c r="K102" s="4">
        <f>IFERROR(Gantt4567[[#This Row],[End]]-Gantt4567[[#This Row],[Start]],0)</f>
        <v>11</v>
      </c>
      <c r="L102" s="77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/>
      <c r="PH102" s="4"/>
      <c r="PI102" s="4"/>
      <c r="PJ102" s="4"/>
      <c r="PK102" s="4"/>
      <c r="PL102" s="4"/>
      <c r="PM102" s="4"/>
      <c r="PN102" s="4"/>
      <c r="PO102" s="46"/>
      <c r="PP102" s="4"/>
      <c r="PQ102" s="4"/>
      <c r="PR102" s="4"/>
      <c r="PS102" s="4"/>
      <c r="PT102" s="4"/>
      <c r="PU102" s="4"/>
      <c r="PV102" s="4"/>
      <c r="PW102" s="4"/>
      <c r="PX102" s="4"/>
      <c r="PY102" s="4"/>
      <c r="PZ102" s="4"/>
      <c r="QA102" s="4"/>
      <c r="QB102" s="4"/>
      <c r="QC102" s="4"/>
      <c r="QD102" s="4"/>
      <c r="QE102" s="4"/>
      <c r="QF102" s="4"/>
      <c r="QG102" s="4"/>
      <c r="QH102" s="4"/>
      <c r="QI102" s="4"/>
      <c r="QJ102" s="4"/>
      <c r="QK102" s="4"/>
      <c r="QL102" s="4"/>
      <c r="QM102" s="4"/>
    </row>
    <row r="103" spans="1:455" s="30" customFormat="1" x14ac:dyDescent="0.35">
      <c r="A103" s="24" t="s">
        <v>119</v>
      </c>
      <c r="B103" t="s">
        <v>336</v>
      </c>
      <c r="C103" t="s">
        <v>254</v>
      </c>
      <c r="D103" s="56">
        <v>4</v>
      </c>
      <c r="E103" s="59">
        <f>E102</f>
        <v>46262</v>
      </c>
      <c r="F103" s="59">
        <f>IF(D103=0,E103,WORKDAY(Gantt4567[[#This Row],[Start]],Gantt4567[[#This Row],[Duration (days)]]-1,Holidays))</f>
        <v>46267</v>
      </c>
      <c r="G103" s="57" t="str">
        <f>A102</f>
        <v>5.5 </v>
      </c>
      <c r="H103" s="57" t="str">
        <f>A105</f>
        <v>5.5.3</v>
      </c>
      <c r="I103" s="4">
        <f>IF(Gantt4567[[#This Row],[Start]]="","-",NETWORKDAYS(Gantt4567[[#This Row],[Start]],Gantt4567[[#This Row],[End]],Holidays))</f>
        <v>4</v>
      </c>
      <c r="J103" s="65"/>
      <c r="K103" s="4">
        <f>IFERROR(Gantt4567[[#This Row],[End]]-Gantt4567[[#This Row],[Start]],0)</f>
        <v>5</v>
      </c>
      <c r="L103" s="77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6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4"/>
      <c r="QL103" s="4"/>
      <c r="QM103" s="4"/>
    </row>
    <row r="104" spans="1:455" s="30" customFormat="1" x14ac:dyDescent="0.35">
      <c r="A104" s="24" t="s">
        <v>120</v>
      </c>
      <c r="B104" t="s">
        <v>337</v>
      </c>
      <c r="C104" t="s">
        <v>254</v>
      </c>
      <c r="D104" s="56">
        <v>4</v>
      </c>
      <c r="E104" s="59">
        <f>WORKDAY(MAX(E102,F97),1,Holidays)</f>
        <v>46266</v>
      </c>
      <c r="F104" s="59">
        <f>IF(D104=0,E104,WORKDAY(Gantt4567[[#This Row],[Start]],Gantt4567[[#This Row],[Duration (days)]]-1,Holidays))</f>
        <v>46269</v>
      </c>
      <c r="G104" s="57" t="str">
        <f>_xlfn.TEXTJOIN(", ",TRUE,A97,A102)</f>
        <v>5.3.4, 5.5 </v>
      </c>
      <c r="H104" s="57" t="str">
        <f>A105</f>
        <v>5.5.3</v>
      </c>
      <c r="I104" s="4">
        <f>IF(Gantt4567[[#This Row],[Start]]="","-",NETWORKDAYS(Gantt4567[[#This Row],[Start]],Gantt4567[[#This Row],[End]],Holidays))</f>
        <v>4</v>
      </c>
      <c r="J104" s="65">
        <v>0</v>
      </c>
      <c r="K104" s="4">
        <f>IFERROR(Gantt4567[[#This Row],[End]]-Gantt4567[[#This Row],[Start]],0)</f>
        <v>3</v>
      </c>
      <c r="L104" s="77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6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</row>
    <row r="105" spans="1:455" s="30" customFormat="1" x14ac:dyDescent="0.35">
      <c r="A105" s="11" t="s">
        <v>121</v>
      </c>
      <c r="B105" t="s">
        <v>338</v>
      </c>
      <c r="C105" t="s">
        <v>254</v>
      </c>
      <c r="D105" s="56">
        <v>2</v>
      </c>
      <c r="E105" s="59">
        <f>WORKDAY(MAX(F104,F103),1,Holidays)</f>
        <v>46272</v>
      </c>
      <c r="F105" s="59">
        <f>IF(D105=0,E105,WORKDAY(Gantt4567[[#This Row],[Start]],Gantt4567[[#This Row],[Duration (days)]]-1,Holidays))</f>
        <v>46273</v>
      </c>
      <c r="G105" s="57" t="str">
        <f>H102</f>
        <v>5.5.1, 5.5.2</v>
      </c>
      <c r="H105" s="57" t="str">
        <f>A106</f>
        <v>5.6 </v>
      </c>
      <c r="I105" s="4">
        <f>IF(Gantt4567[[#This Row],[Start]]="","-",NETWORKDAYS(Gantt4567[[#This Row],[Start]],Gantt4567[[#This Row],[End]],Holidays))</f>
        <v>2</v>
      </c>
      <c r="J105" s="65">
        <v>0</v>
      </c>
      <c r="K105" s="4">
        <f>IFERROR(Gantt4567[[#This Row],[End]]-Gantt4567[[#This Row],[Start]],0)</f>
        <v>1</v>
      </c>
      <c r="L105" s="77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6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</row>
    <row r="106" spans="1:455" s="30" customFormat="1" x14ac:dyDescent="0.35">
      <c r="A106" s="9" t="s">
        <v>122</v>
      </c>
      <c r="B106" t="s">
        <v>339</v>
      </c>
      <c r="C106" t="s">
        <v>253</v>
      </c>
      <c r="D106" s="29">
        <f>MAX(D107:D108)+D109</f>
        <v>9</v>
      </c>
      <c r="E106" s="59">
        <f>WORKDAY(MAX(F101,F105),1,Holidays)</f>
        <v>46274</v>
      </c>
      <c r="F106" s="59">
        <f>IF(D106=0,E106,WORKDAY(Gantt4567[[#This Row],[Start]],Gantt4567[[#This Row],[Duration (days)]]-1,Holidays))</f>
        <v>46286</v>
      </c>
      <c r="G106" s="57" t="str">
        <f>_xlfn.TEXTJOIN(", ",TRUE,H100,H103)</f>
        <v>5.4.3, 5.5.3</v>
      </c>
      <c r="H106" s="57" t="str">
        <f>_xlfn.TEXTJOIN(", ",TRUE,A107:A108)</f>
        <v>5.6.1, 5.6.2</v>
      </c>
      <c r="I106" s="4">
        <f>IF(Gantt4567[[#This Row],[Start]]="","-",NETWORKDAYS(Gantt4567[[#This Row],[Start]],Gantt4567[[#This Row],[End]],Holidays))</f>
        <v>9</v>
      </c>
      <c r="J106" s="65">
        <v>0</v>
      </c>
      <c r="K106" s="4">
        <f>IFERROR(Gantt4567[[#This Row],[End]]-Gantt4567[[#This Row],[Start]],0)</f>
        <v>12</v>
      </c>
      <c r="L106" s="77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6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</row>
    <row r="107" spans="1:455" s="30" customFormat="1" x14ac:dyDescent="0.35">
      <c r="A107" s="24" t="s">
        <v>123</v>
      </c>
      <c r="B107" t="s">
        <v>340</v>
      </c>
      <c r="C107" t="s">
        <v>254</v>
      </c>
      <c r="D107" s="56">
        <v>5</v>
      </c>
      <c r="E107" s="59">
        <f>E106</f>
        <v>46274</v>
      </c>
      <c r="F107" s="59">
        <f>IF(D107=0,E107,WORKDAY(Gantt4567[[#This Row],[Start]],Gantt4567[[#This Row],[Duration (days)]]-1,Holidays))</f>
        <v>46280</v>
      </c>
      <c r="G107" s="57" t="str">
        <f>H105</f>
        <v>5.6 </v>
      </c>
      <c r="H107" s="57" t="str">
        <f>A109</f>
        <v>5.6.3</v>
      </c>
      <c r="I107" s="4">
        <f>IF(Gantt4567[[#This Row],[Start]]="","-",NETWORKDAYS(Gantt4567[[#This Row],[Start]],Gantt4567[[#This Row],[End]],Holidays))</f>
        <v>5</v>
      </c>
      <c r="J107" s="65">
        <v>0</v>
      </c>
      <c r="K107" s="4">
        <f>IFERROR(Gantt4567[[#This Row],[End]]-Gantt4567[[#This Row],[Start]],0)</f>
        <v>6</v>
      </c>
      <c r="L107" s="7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6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</row>
    <row r="108" spans="1:455" s="30" customFormat="1" x14ac:dyDescent="0.35">
      <c r="A108" s="24" t="s">
        <v>124</v>
      </c>
      <c r="B108" t="s">
        <v>341</v>
      </c>
      <c r="C108" t="s">
        <v>254</v>
      </c>
      <c r="D108" s="56">
        <v>4</v>
      </c>
      <c r="E108" s="59">
        <f>E106</f>
        <v>46274</v>
      </c>
      <c r="F108" s="59">
        <f>IF(D108=0,E108,WORKDAY(Gantt4567[[#This Row],[Start]],Gantt4567[[#This Row],[Duration (days)]]-1,Holidays))</f>
        <v>46279</v>
      </c>
      <c r="G108" s="57" t="str">
        <f>H105</f>
        <v>5.6 </v>
      </c>
      <c r="H108" s="57" t="str">
        <f>A109</f>
        <v>5.6.3</v>
      </c>
      <c r="I108" s="4">
        <f>IF(Gantt4567[[#This Row],[Start]]="","-",NETWORKDAYS(Gantt4567[[#This Row],[Start]],Gantt4567[[#This Row],[End]],Holidays))</f>
        <v>4</v>
      </c>
      <c r="J108" s="65"/>
      <c r="K108" s="4">
        <f>IFERROR(Gantt4567[[#This Row],[End]]-Gantt4567[[#This Row],[Start]],0)</f>
        <v>5</v>
      </c>
      <c r="L108" s="77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6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</row>
    <row r="109" spans="1:455" s="30" customFormat="1" x14ac:dyDescent="0.35">
      <c r="A109" s="11" t="s">
        <v>125</v>
      </c>
      <c r="B109" t="s">
        <v>342</v>
      </c>
      <c r="C109" t="s">
        <v>254</v>
      </c>
      <c r="D109" s="56">
        <v>4</v>
      </c>
      <c r="E109" s="59">
        <f>WORKDAY(MAX(F107:F108),1,Holidays)</f>
        <v>46281</v>
      </c>
      <c r="F109" s="59">
        <f>IF(D109=0,E109,WORKDAY(Gantt4567[[#This Row],[Start]],Gantt4567[[#This Row],[Duration (days)]]-1,Holidays))</f>
        <v>46286</v>
      </c>
      <c r="G109" s="57" t="str">
        <f>H106</f>
        <v>5.6.1, 5.6.2</v>
      </c>
      <c r="H109" s="57" t="str">
        <f>A110</f>
        <v>5.7 </v>
      </c>
      <c r="I109" s="4">
        <f>IF(Gantt4567[[#This Row],[Start]]="","-",NETWORKDAYS(Gantt4567[[#This Row],[Start]],Gantt4567[[#This Row],[End]],Holidays))</f>
        <v>4</v>
      </c>
      <c r="J109" s="65">
        <v>0</v>
      </c>
      <c r="K109" s="4">
        <f>IFERROR(Gantt4567[[#This Row],[End]]-Gantt4567[[#This Row],[Start]],0)</f>
        <v>5</v>
      </c>
      <c r="L109" s="77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6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</row>
    <row r="110" spans="1:455" s="30" customFormat="1" x14ac:dyDescent="0.35">
      <c r="A110" s="9" t="s">
        <v>126</v>
      </c>
      <c r="B110" t="s">
        <v>343</v>
      </c>
      <c r="C110" t="s">
        <v>253</v>
      </c>
      <c r="D110" s="29">
        <f>MAX(D111:D112)+D113</f>
        <v>13</v>
      </c>
      <c r="E110" s="59">
        <f>WORKDAY(F106,1,Holidays)</f>
        <v>46287</v>
      </c>
      <c r="F110" s="59">
        <f>IF(D110=0,E110,WORKDAY(Gantt4567[[#This Row],[Start]],Gantt4567[[#This Row],[Duration (days)]]-1,Holidays))</f>
        <v>46304</v>
      </c>
      <c r="G110" s="57" t="str">
        <f>H107</f>
        <v>5.6.3</v>
      </c>
      <c r="H110" s="57" t="str">
        <f>_xlfn.TEXTJOIN(", ",TRUE,A111:A112)</f>
        <v>5.7.1, 5.7.2</v>
      </c>
      <c r="I110" s="4">
        <f>IF(Gantt4567[[#This Row],[Start]]="","-",NETWORKDAYS(Gantt4567[[#This Row],[Start]],Gantt4567[[#This Row],[End]],Holidays))</f>
        <v>13</v>
      </c>
      <c r="J110" s="65">
        <v>0</v>
      </c>
      <c r="K110" s="4">
        <f>IFERROR(Gantt4567[[#This Row],[End]]-Gantt4567[[#This Row],[Start]],0)</f>
        <v>17</v>
      </c>
      <c r="L110" s="77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6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</row>
    <row r="111" spans="1:455" s="30" customFormat="1" x14ac:dyDescent="0.35">
      <c r="A111" s="27" t="s">
        <v>127</v>
      </c>
      <c r="B111" t="s">
        <v>344</v>
      </c>
      <c r="C111" t="s">
        <v>254</v>
      </c>
      <c r="D111" s="56">
        <v>6</v>
      </c>
      <c r="E111" s="59">
        <f>E110</f>
        <v>46287</v>
      </c>
      <c r="F111" s="59">
        <f>IF(D111=0,E111,WORKDAY(Gantt4567[[#This Row],[Start]],Gantt4567[[#This Row],[Duration (days)]]-1,Holidays))</f>
        <v>46294</v>
      </c>
      <c r="G111" s="57" t="str">
        <f>H109</f>
        <v>5.7 </v>
      </c>
      <c r="H111" s="57" t="str">
        <f>A113</f>
        <v>5.7.3</v>
      </c>
      <c r="I111" s="4">
        <f>IF(Gantt4567[[#This Row],[Start]]="","-",NETWORKDAYS(Gantt4567[[#This Row],[Start]],Gantt4567[[#This Row],[End]],Holidays))</f>
        <v>6</v>
      </c>
      <c r="J111" s="65">
        <v>0</v>
      </c>
      <c r="K111" s="4">
        <f>IFERROR(Gantt4567[[#This Row],[End]]-Gantt4567[[#This Row],[Start]],0)</f>
        <v>7</v>
      </c>
      <c r="L111" s="77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6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</row>
    <row r="112" spans="1:455" s="30" customFormat="1" x14ac:dyDescent="0.35">
      <c r="A112" s="27" t="s">
        <v>128</v>
      </c>
      <c r="B112" t="s">
        <v>345</v>
      </c>
      <c r="C112" t="s">
        <v>254</v>
      </c>
      <c r="D112" s="56">
        <v>6</v>
      </c>
      <c r="E112" s="59">
        <f>E110</f>
        <v>46287</v>
      </c>
      <c r="F112" s="59">
        <f>IF(D112=0,E112,WORKDAY(Gantt4567[[#This Row],[Start]],Gantt4567[[#This Row],[Duration (days)]]-1,Holidays))</f>
        <v>46294</v>
      </c>
      <c r="G112" s="57" t="str">
        <f>H109</f>
        <v>5.7 </v>
      </c>
      <c r="H112" s="57" t="str">
        <f t="shared" ref="H112:H124" si="450">A113</f>
        <v>5.7.3</v>
      </c>
      <c r="I112" s="4">
        <f>IF(Gantt4567[[#This Row],[Start]]="","-",NETWORKDAYS(Gantt4567[[#This Row],[Start]],Gantt4567[[#This Row],[End]],Holidays))</f>
        <v>6</v>
      </c>
      <c r="J112" s="65">
        <v>0</v>
      </c>
      <c r="K112" s="4">
        <f>IFERROR(Gantt4567[[#This Row],[End]]-Gantt4567[[#This Row],[Start]],0)</f>
        <v>7</v>
      </c>
      <c r="L112" s="77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6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</row>
    <row r="113" spans="1:455" s="30" customFormat="1" x14ac:dyDescent="0.35">
      <c r="A113" s="13" t="s">
        <v>129</v>
      </c>
      <c r="B113" t="s">
        <v>346</v>
      </c>
      <c r="C113" t="s">
        <v>254</v>
      </c>
      <c r="D113" s="56">
        <v>7</v>
      </c>
      <c r="E113" s="59">
        <f>WORKDAY(F111,1,Holidays)</f>
        <v>46295</v>
      </c>
      <c r="F113" s="59">
        <f>IF(D113=0,E113,WORKDAY(Gantt4567[[#This Row],[Start]],Gantt4567[[#This Row],[Duration (days)]]-1,Holidays))</f>
        <v>46304</v>
      </c>
      <c r="G113" s="57" t="str">
        <f>H110</f>
        <v>5.7.1, 5.7.2</v>
      </c>
      <c r="H113" s="57" t="str">
        <f t="shared" si="450"/>
        <v>5.8</v>
      </c>
      <c r="I113" s="4">
        <f>IF(Gantt4567[[#This Row],[Start]]="","-",NETWORKDAYS(Gantt4567[[#This Row],[Start]],Gantt4567[[#This Row],[End]],Holidays))</f>
        <v>7</v>
      </c>
      <c r="J113" s="65">
        <v>0</v>
      </c>
      <c r="K113" s="4">
        <f>IFERROR(Gantt4567[[#This Row],[End]]-Gantt4567[[#This Row],[Start]],0)</f>
        <v>9</v>
      </c>
      <c r="L113" s="77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6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</row>
    <row r="114" spans="1:455" s="30" customFormat="1" x14ac:dyDescent="0.35">
      <c r="A114" s="9" t="s">
        <v>130</v>
      </c>
      <c r="B114" t="s">
        <v>347</v>
      </c>
      <c r="C114" t="s">
        <v>253</v>
      </c>
      <c r="D114" s="29">
        <f>SUM(D115:D116)</f>
        <v>20</v>
      </c>
      <c r="E114" s="59">
        <f>WORKDAY(F110,1,Holidays)</f>
        <v>46307</v>
      </c>
      <c r="F114" s="59">
        <f>IF(D114=0,E114,WORKDAY(Gantt4567[[#This Row],[Start]],Gantt4567[[#This Row],[Duration (days)]]-1,Holidays))</f>
        <v>46332</v>
      </c>
      <c r="G114" s="57" t="str">
        <f>H111</f>
        <v>5.7.3</v>
      </c>
      <c r="H114" s="75" t="str">
        <f t="shared" si="450"/>
        <v>5.8.1</v>
      </c>
      <c r="I114" s="4">
        <f>IF(Gantt4567[[#This Row],[Start]]="","-",NETWORKDAYS(Gantt4567[[#This Row],[Start]],Gantt4567[[#This Row],[End]],Holidays))</f>
        <v>20</v>
      </c>
      <c r="J114" s="65">
        <v>0</v>
      </c>
      <c r="K114" s="4">
        <f>IFERROR(Gantt4567[[#This Row],[End]]-Gantt4567[[#This Row],[Start]],0)</f>
        <v>25</v>
      </c>
      <c r="L114" s="77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6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</row>
    <row r="115" spans="1:455" s="30" customFormat="1" x14ac:dyDescent="0.35">
      <c r="A115" s="11" t="s">
        <v>131</v>
      </c>
      <c r="B115" t="s">
        <v>348</v>
      </c>
      <c r="C115" t="s">
        <v>254</v>
      </c>
      <c r="D115" s="56">
        <v>15</v>
      </c>
      <c r="E115" s="59">
        <f>E114</f>
        <v>46307</v>
      </c>
      <c r="F115" s="59">
        <f>IF(D115=0,E115,WORKDAY(Gantt4567[[#This Row],[Start]],Gantt4567[[#This Row],[Duration (days)]]-1,Holidays))</f>
        <v>46325</v>
      </c>
      <c r="G115" s="57" t="str">
        <f>H113</f>
        <v>5.8</v>
      </c>
      <c r="H115" s="75" t="str">
        <f t="shared" si="450"/>
        <v>5.8.2</v>
      </c>
      <c r="I115" s="4">
        <f>IF(Gantt4567[[#This Row],[Start]]="","-",NETWORKDAYS(Gantt4567[[#This Row],[Start]],Gantt4567[[#This Row],[End]],Holidays))</f>
        <v>15</v>
      </c>
      <c r="J115" s="65">
        <v>0</v>
      </c>
      <c r="K115" s="4">
        <f>IFERROR(Gantt4567[[#This Row],[End]]-Gantt4567[[#This Row],[Start]],0)</f>
        <v>18</v>
      </c>
      <c r="L115" s="77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6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</row>
    <row r="116" spans="1:455" s="30" customFormat="1" x14ac:dyDescent="0.35">
      <c r="A116" s="11" t="s">
        <v>132</v>
      </c>
      <c r="B116" t="s">
        <v>349</v>
      </c>
      <c r="C116" t="s">
        <v>254</v>
      </c>
      <c r="D116" s="56">
        <v>5</v>
      </c>
      <c r="E116" s="59">
        <f>WORKDAY(F115,1,Holidays)</f>
        <v>46328</v>
      </c>
      <c r="F116" s="59">
        <f>IF(D116=0,E116,WORKDAY(Gantt4567[[#This Row],[Start]],Gantt4567[[#This Row],[Duration (days)]]-1,Holidays))</f>
        <v>46332</v>
      </c>
      <c r="G116" s="75" t="str">
        <f>H114</f>
        <v>5.8.1</v>
      </c>
      <c r="H116" s="57" t="str">
        <f t="shared" si="450"/>
        <v>5.9</v>
      </c>
      <c r="I116" s="4">
        <f>IF(Gantt4567[[#This Row],[Start]]="","-",NETWORKDAYS(Gantt4567[[#This Row],[Start]],Gantt4567[[#This Row],[End]],Holidays))</f>
        <v>5</v>
      </c>
      <c r="J116" s="65">
        <v>0</v>
      </c>
      <c r="K116" s="4">
        <f>IFERROR(Gantt4567[[#This Row],[End]]-Gantt4567[[#This Row],[Start]],0)</f>
        <v>4</v>
      </c>
      <c r="L116" s="77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6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4"/>
      <c r="QL116" s="4"/>
      <c r="QM116" s="4"/>
    </row>
    <row r="117" spans="1:455" s="30" customFormat="1" x14ac:dyDescent="0.35">
      <c r="A117" s="41" t="s">
        <v>133</v>
      </c>
      <c r="B117" s="38" t="s">
        <v>412</v>
      </c>
      <c r="C117" s="38" t="s">
        <v>257</v>
      </c>
      <c r="D117" s="56">
        <v>0</v>
      </c>
      <c r="E117" s="59">
        <f>F114</f>
        <v>46332</v>
      </c>
      <c r="F117" s="59">
        <f>IF(D117=0,E117,WORKDAY(Gantt4567[[#This Row],[Start]],Gantt4567[[#This Row],[Duration (days)]]-1,Holidays))</f>
        <v>46332</v>
      </c>
      <c r="G117" s="75" t="str">
        <f>H115</f>
        <v>5.8.2</v>
      </c>
      <c r="H117" s="57" t="str">
        <f t="shared" si="450"/>
        <v>6.0 </v>
      </c>
      <c r="I117" s="4">
        <v>0</v>
      </c>
      <c r="J117" s="65">
        <v>0</v>
      </c>
      <c r="K117" s="4">
        <f>IFERROR(Gantt4567[[#This Row],[End]]-Gantt4567[[#This Row],[Start]],0)</f>
        <v>0</v>
      </c>
      <c r="L117" s="77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  <c r="OL117" s="4"/>
      <c r="OM117" s="4"/>
      <c r="ON117" s="4"/>
      <c r="OO117" s="4"/>
      <c r="OP117" s="4"/>
      <c r="OQ117" s="4"/>
      <c r="OR117" s="4"/>
      <c r="OS117" s="4"/>
      <c r="OT117" s="4"/>
      <c r="OU117" s="4"/>
      <c r="OV117" s="4"/>
      <c r="OW117" s="4"/>
      <c r="OX117" s="4"/>
      <c r="OY117" s="4"/>
      <c r="OZ117" s="4"/>
      <c r="PA117" s="4"/>
      <c r="PB117" s="4"/>
      <c r="PC117" s="4"/>
      <c r="PD117" s="4"/>
      <c r="PE117" s="4"/>
      <c r="PF117" s="4"/>
      <c r="PG117" s="4"/>
      <c r="PH117" s="4"/>
      <c r="PI117" s="4"/>
      <c r="PJ117" s="4"/>
      <c r="PK117" s="4"/>
      <c r="PL117" s="4"/>
      <c r="PM117" s="4"/>
      <c r="PN117" s="4"/>
      <c r="PO117" s="46"/>
      <c r="PP117" s="4"/>
      <c r="PQ117" s="4"/>
      <c r="PR117" s="4"/>
      <c r="PS117" s="4"/>
      <c r="PT117" s="4"/>
      <c r="PU117" s="4"/>
      <c r="PV117" s="4"/>
      <c r="PW117" s="4"/>
      <c r="PX117" s="4"/>
      <c r="PY117" s="4"/>
      <c r="PZ117" s="4"/>
      <c r="QA117" s="4"/>
      <c r="QB117" s="4"/>
      <c r="QC117" s="4"/>
      <c r="QD117" s="4"/>
      <c r="QE117" s="4"/>
      <c r="QF117" s="4"/>
      <c r="QG117" s="4"/>
      <c r="QH117" s="4"/>
      <c r="QI117" s="4"/>
      <c r="QJ117" s="4"/>
      <c r="QK117" s="4"/>
      <c r="QL117" s="4"/>
      <c r="QM117" s="4"/>
    </row>
    <row r="118" spans="1:455" s="30" customFormat="1" x14ac:dyDescent="0.35">
      <c r="A118" s="6" t="s">
        <v>134</v>
      </c>
      <c r="B118" s="5" t="s">
        <v>301</v>
      </c>
      <c r="C118" s="5" t="s">
        <v>255</v>
      </c>
      <c r="D118" s="61">
        <f>D119+D124+D139</f>
        <v>75</v>
      </c>
      <c r="E118" s="58">
        <f>WORKDAY(F82,1,Holidays)</f>
        <v>46335</v>
      </c>
      <c r="F118" s="58">
        <f>F144</f>
        <v>46443</v>
      </c>
      <c r="G118" s="57" t="str">
        <f>H116</f>
        <v>5.9</v>
      </c>
      <c r="H118" s="57" t="str">
        <f t="shared" si="450"/>
        <v>6.1 </v>
      </c>
      <c r="I118" s="4">
        <f>IF(Gantt4567[[#This Row],[Start]]="","-",NETWORKDAYS(Gantt4567[[#This Row],[Start]],Gantt4567[[#This Row],[End]],Holidays))</f>
        <v>75</v>
      </c>
      <c r="J118" s="65">
        <v>0</v>
      </c>
      <c r="K118" s="4">
        <f>IFERROR(Gantt4567[[#This Row],[End]]-Gantt4567[[#This Row],[Start]],0)</f>
        <v>108</v>
      </c>
      <c r="L118" s="77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6"/>
      <c r="PP118" s="4"/>
      <c r="PQ118" s="4"/>
      <c r="PR118" s="4"/>
      <c r="PS118" s="4"/>
      <c r="PT118" s="4"/>
      <c r="PU118" s="4"/>
      <c r="PV118" s="4"/>
      <c r="PW118" s="4"/>
      <c r="PX118" s="4"/>
      <c r="PY118" s="4"/>
      <c r="PZ118" s="4"/>
      <c r="QA118" s="4"/>
      <c r="QB118" s="4"/>
      <c r="QC118" s="4"/>
      <c r="QD118" s="4"/>
      <c r="QE118" s="4"/>
      <c r="QF118" s="4"/>
      <c r="QG118" s="4"/>
      <c r="QH118" s="4"/>
      <c r="QI118" s="4"/>
      <c r="QJ118" s="4"/>
      <c r="QK118" s="4"/>
      <c r="QL118" s="4"/>
      <c r="QM118" s="4"/>
    </row>
    <row r="119" spans="1:455" s="30" customFormat="1" x14ac:dyDescent="0.35">
      <c r="A119" s="9" t="s">
        <v>135</v>
      </c>
      <c r="B119" t="s">
        <v>302</v>
      </c>
      <c r="C119" t="s">
        <v>253</v>
      </c>
      <c r="D119" s="29">
        <f>SUM(D120:D123)</f>
        <v>23</v>
      </c>
      <c r="E119" s="59">
        <f>E118</f>
        <v>46335</v>
      </c>
      <c r="F119" s="59">
        <f>IF(D119=0,E119,WORKDAY(Gantt4567[[#This Row],[Start]],Gantt4567[[#This Row],[Duration (days)]]-1,Holidays))</f>
        <v>46365</v>
      </c>
      <c r="G119" s="57" t="str">
        <f>H117</f>
        <v>6.0 </v>
      </c>
      <c r="H119" s="57" t="str">
        <f t="shared" si="450"/>
        <v>6.1.1</v>
      </c>
      <c r="I119" s="4">
        <f>IF(Gantt4567[[#This Row],[Start]]="","-",NETWORKDAYS(Gantt4567[[#This Row],[Start]],Gantt4567[[#This Row],[End]],Holidays))</f>
        <v>23</v>
      </c>
      <c r="J119" s="65">
        <v>0</v>
      </c>
      <c r="K119" s="4">
        <f>IFERROR(Gantt4567[[#This Row],[End]]-Gantt4567[[#This Row],[Start]],0)</f>
        <v>30</v>
      </c>
      <c r="L119" s="77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6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</row>
    <row r="120" spans="1:455" s="30" customFormat="1" x14ac:dyDescent="0.35">
      <c r="A120" s="11" t="s">
        <v>136</v>
      </c>
      <c r="B120" t="s">
        <v>227</v>
      </c>
      <c r="C120" t="s">
        <v>254</v>
      </c>
      <c r="D120" s="56">
        <v>6</v>
      </c>
      <c r="E120" s="59">
        <f>E119</f>
        <v>46335</v>
      </c>
      <c r="F120" s="59">
        <f>IF(D120=0,E120,WORKDAY(Gantt4567[[#This Row],[Start]],Gantt4567[[#This Row],[Duration (days)]]-1,Holidays))</f>
        <v>46342</v>
      </c>
      <c r="G120" s="57" t="str">
        <f t="shared" ref="G120:G125" si="451">H118</f>
        <v>6.1 </v>
      </c>
      <c r="H120" s="57" t="str">
        <f t="shared" si="450"/>
        <v>6.1.2</v>
      </c>
      <c r="I120" s="4">
        <f>IF(Gantt4567[[#This Row],[Start]]="","-",NETWORKDAYS(Gantt4567[[#This Row],[Start]],Gantt4567[[#This Row],[End]],Holidays))</f>
        <v>6</v>
      </c>
      <c r="J120" s="65">
        <v>0</v>
      </c>
      <c r="K120" s="4">
        <f>IFERROR(Gantt4567[[#This Row],[End]]-Gantt4567[[#This Row],[Start]],0)</f>
        <v>7</v>
      </c>
      <c r="L120" s="77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6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</row>
    <row r="121" spans="1:455" s="30" customFormat="1" x14ac:dyDescent="0.35">
      <c r="A121" s="11" t="s">
        <v>137</v>
      </c>
      <c r="B121" t="s">
        <v>228</v>
      </c>
      <c r="C121" t="s">
        <v>254</v>
      </c>
      <c r="D121" s="56">
        <v>6</v>
      </c>
      <c r="E121" s="59">
        <f>WORKDAY(F120,1,Holidays)</f>
        <v>46343</v>
      </c>
      <c r="F121" s="59">
        <f>IF(D121=0,E121,WORKDAY(Gantt4567[[#This Row],[Start]],Gantt4567[[#This Row],[Duration (days)]]-1,Holidays))</f>
        <v>46350</v>
      </c>
      <c r="G121" s="57" t="str">
        <f t="shared" si="451"/>
        <v>6.1.1</v>
      </c>
      <c r="H121" s="57" t="str">
        <f t="shared" si="450"/>
        <v>6.1.3</v>
      </c>
      <c r="I121" s="4">
        <f>IF(Gantt4567[[#This Row],[Start]]="","-",NETWORKDAYS(Gantt4567[[#This Row],[Start]],Gantt4567[[#This Row],[End]],Holidays))</f>
        <v>6</v>
      </c>
      <c r="J121" s="65">
        <v>0</v>
      </c>
      <c r="K121" s="4">
        <f>IFERROR(Gantt4567[[#This Row],[End]]-Gantt4567[[#This Row],[Start]],0)</f>
        <v>7</v>
      </c>
      <c r="L121" s="77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6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</row>
    <row r="122" spans="1:455" s="30" customFormat="1" x14ac:dyDescent="0.35">
      <c r="A122" s="11" t="s">
        <v>138</v>
      </c>
      <c r="B122" t="s">
        <v>229</v>
      </c>
      <c r="C122" t="s">
        <v>254</v>
      </c>
      <c r="D122" s="56">
        <v>6</v>
      </c>
      <c r="E122" s="59">
        <f>WORKDAY(F121,1,Holidays)</f>
        <v>46351</v>
      </c>
      <c r="F122" s="59">
        <f>IF(D122=0,E122,WORKDAY(Gantt4567[[#This Row],[Start]],Gantt4567[[#This Row],[Duration (days)]]-1,Holidays))</f>
        <v>46358</v>
      </c>
      <c r="G122" s="57" t="str">
        <f>H120</f>
        <v>6.1.2</v>
      </c>
      <c r="H122" s="57" t="str">
        <f t="shared" si="450"/>
        <v>6.1.4</v>
      </c>
      <c r="I122" s="4">
        <f>IF(Gantt4567[[#This Row],[Start]]="","-",NETWORKDAYS(Gantt4567[[#This Row],[Start]],Gantt4567[[#This Row],[End]],Holidays))</f>
        <v>6</v>
      </c>
      <c r="J122" s="65">
        <v>0</v>
      </c>
      <c r="K122" s="4">
        <f>IFERROR(Gantt4567[[#This Row],[End]]-Gantt4567[[#This Row],[Start]],0)</f>
        <v>7</v>
      </c>
      <c r="L122" s="77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6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</row>
    <row r="123" spans="1:455" s="30" customFormat="1" x14ac:dyDescent="0.35">
      <c r="A123" s="11" t="s">
        <v>139</v>
      </c>
      <c r="B123" t="s">
        <v>303</v>
      </c>
      <c r="C123" t="s">
        <v>254</v>
      </c>
      <c r="D123" s="56">
        <v>5</v>
      </c>
      <c r="E123" s="59">
        <f>WORKDAY(F122,1,Holidays)</f>
        <v>46359</v>
      </c>
      <c r="F123" s="59">
        <f>IF(D123=0,E123,WORKDAY(Gantt4567[[#This Row],[Start]],Gantt4567[[#This Row],[Duration (days)]]-1,Holidays))</f>
        <v>46365</v>
      </c>
      <c r="G123" s="57" t="str">
        <f t="shared" si="451"/>
        <v>6.1.3</v>
      </c>
      <c r="H123" s="57" t="str">
        <f t="shared" si="450"/>
        <v>6.2</v>
      </c>
      <c r="I123" s="4">
        <f>IF(Gantt4567[[#This Row],[Start]]="","-",NETWORKDAYS(Gantt4567[[#This Row],[Start]],Gantt4567[[#This Row],[End]],Holidays))</f>
        <v>5</v>
      </c>
      <c r="J123" s="65">
        <v>0</v>
      </c>
      <c r="K123" s="4">
        <f>IFERROR(Gantt4567[[#This Row],[End]]-Gantt4567[[#This Row],[Start]],0)</f>
        <v>6</v>
      </c>
      <c r="L123" s="77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6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</row>
    <row r="124" spans="1:455" s="30" customFormat="1" x14ac:dyDescent="0.35">
      <c r="A124" s="9" t="s">
        <v>140</v>
      </c>
      <c r="B124" t="s">
        <v>304</v>
      </c>
      <c r="C124" t="s">
        <v>253</v>
      </c>
      <c r="D124" s="29">
        <f>D125+D130+SUM(D136:D138)</f>
        <v>32</v>
      </c>
      <c r="E124" s="59">
        <f>WORKDAY(F119,1,Holidays)</f>
        <v>46366</v>
      </c>
      <c r="F124" s="59">
        <f>IF(D124=0,E124,WORKDAY(Gantt4567[[#This Row],[Start]],Gantt4567[[#This Row],[Duration (days)]]-1,Holidays))</f>
        <v>46415</v>
      </c>
      <c r="G124" s="57" t="str">
        <f t="shared" si="451"/>
        <v>6.1.4</v>
      </c>
      <c r="H124" s="57" t="str">
        <f t="shared" si="450"/>
        <v>6.2.1</v>
      </c>
      <c r="I124" s="4">
        <f>IF(Gantt4567[[#This Row],[Start]]="","-",NETWORKDAYS(Gantt4567[[#This Row],[Start]],Gantt4567[[#This Row],[End]],Holidays))</f>
        <v>32</v>
      </c>
      <c r="J124" s="65">
        <v>0</v>
      </c>
      <c r="K124" s="4">
        <f>IFERROR(Gantt4567[[#This Row],[End]]-Gantt4567[[#This Row],[Start]],0)</f>
        <v>49</v>
      </c>
      <c r="L124" s="77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6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</row>
    <row r="125" spans="1:455" s="30" customFormat="1" x14ac:dyDescent="0.35">
      <c r="A125" s="11" t="s">
        <v>141</v>
      </c>
      <c r="B125" t="s">
        <v>230</v>
      </c>
      <c r="C125" t="s">
        <v>254</v>
      </c>
      <c r="D125" s="63">
        <f>MAX(D126:D128)+D129</f>
        <v>7</v>
      </c>
      <c r="E125" s="59">
        <f>E124</f>
        <v>46366</v>
      </c>
      <c r="F125" s="59">
        <f>IF(D125=0,E125,WORKDAY(Gantt4567[[#This Row],[Start]],Gantt4567[[#This Row],[Duration (days)]]-1,Holidays))</f>
        <v>46374</v>
      </c>
      <c r="G125" s="57" t="str">
        <f t="shared" si="451"/>
        <v>6.2</v>
      </c>
      <c r="H125" s="57" t="str">
        <f>_xlfn.TEXTJOIN(", ",TRUE,A126:A128)</f>
        <v>6.2.1.1, 6.2.1.2, 6.2.1.3</v>
      </c>
      <c r="I125" s="4">
        <f>IF(Gantt4567[[#This Row],[Start]]="","-",NETWORKDAYS(Gantt4567[[#This Row],[Start]],Gantt4567[[#This Row],[End]],Holidays))</f>
        <v>7</v>
      </c>
      <c r="J125" s="65">
        <v>0</v>
      </c>
      <c r="K125" s="4">
        <f>IFERROR(Gantt4567[[#This Row],[End]]-Gantt4567[[#This Row],[Start]],0)</f>
        <v>8</v>
      </c>
      <c r="L125" s="77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6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</row>
    <row r="126" spans="1:455" s="30" customFormat="1" x14ac:dyDescent="0.35">
      <c r="A126" s="26" t="s">
        <v>142</v>
      </c>
      <c r="B126" t="s">
        <v>231</v>
      </c>
      <c r="C126" t="s">
        <v>417</v>
      </c>
      <c r="D126" s="56">
        <v>4</v>
      </c>
      <c r="E126" s="59">
        <f>E125</f>
        <v>46366</v>
      </c>
      <c r="F126" s="59">
        <f>IF(D126=0,E126,WORKDAY(Gantt4567[[#This Row],[Start]],Gantt4567[[#This Row],[Duration (days)]]-1,Holidays))</f>
        <v>46371</v>
      </c>
      <c r="G126" s="57" t="str">
        <f>H124</f>
        <v>6.2.1</v>
      </c>
      <c r="H126" s="57" t="str">
        <f>A129</f>
        <v>6.2.1.4</v>
      </c>
      <c r="I126" s="4">
        <f>IF(Gantt4567[[#This Row],[Start]]="","-",NETWORKDAYS(Gantt4567[[#This Row],[Start]],Gantt4567[[#This Row],[End]],Holidays))</f>
        <v>4</v>
      </c>
      <c r="J126" s="65"/>
      <c r="K126" s="4">
        <f>IFERROR(Gantt4567[[#This Row],[End]]-Gantt4567[[#This Row],[Start]],0)</f>
        <v>5</v>
      </c>
      <c r="L126" s="77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6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</row>
    <row r="127" spans="1:455" s="30" customFormat="1" x14ac:dyDescent="0.35">
      <c r="A127" s="26" t="s">
        <v>143</v>
      </c>
      <c r="B127" t="s">
        <v>232</v>
      </c>
      <c r="C127" t="s">
        <v>417</v>
      </c>
      <c r="D127" s="56">
        <v>5</v>
      </c>
      <c r="E127" s="59">
        <f>E125</f>
        <v>46366</v>
      </c>
      <c r="F127" s="59">
        <f>IF(D127=0,E127,WORKDAY(Gantt4567[[#This Row],[Start]],Gantt4567[[#This Row],[Duration (days)]]-1,Holidays))</f>
        <v>46372</v>
      </c>
      <c r="G127" s="57" t="str">
        <f>H124</f>
        <v>6.2.1</v>
      </c>
      <c r="H127" s="57" t="str">
        <f>A129</f>
        <v>6.2.1.4</v>
      </c>
      <c r="I127" s="4">
        <f>IF(Gantt4567[[#This Row],[Start]]="","-",NETWORKDAYS(Gantt4567[[#This Row],[Start]],Gantt4567[[#This Row],[End]],Holidays))</f>
        <v>5</v>
      </c>
      <c r="J127" s="65">
        <v>0</v>
      </c>
      <c r="K127" s="4">
        <f>IFERROR(Gantt4567[[#This Row],[End]]-Gantt4567[[#This Row],[Start]],0)</f>
        <v>6</v>
      </c>
      <c r="L127" s="77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6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</row>
    <row r="128" spans="1:455" s="30" customFormat="1" x14ac:dyDescent="0.35">
      <c r="A128" s="26" t="s">
        <v>144</v>
      </c>
      <c r="B128" t="s">
        <v>233</v>
      </c>
      <c r="C128" t="s">
        <v>417</v>
      </c>
      <c r="D128" s="56">
        <v>4</v>
      </c>
      <c r="E128" s="59">
        <f>E125</f>
        <v>46366</v>
      </c>
      <c r="F128" s="59">
        <f>IF(D128=0,E128,WORKDAY(Gantt4567[[#This Row],[Start]],Gantt4567[[#This Row],[Duration (days)]]-1,Holidays))</f>
        <v>46371</v>
      </c>
      <c r="G128" s="57" t="str">
        <f>H124</f>
        <v>6.2.1</v>
      </c>
      <c r="H128" s="57" t="str">
        <f t="shared" ref="H128:H150" si="452">A129</f>
        <v>6.2.1.4</v>
      </c>
      <c r="I128" s="4">
        <f>IF(Gantt4567[[#This Row],[Start]]="","-",NETWORKDAYS(Gantt4567[[#This Row],[Start]],Gantt4567[[#This Row],[End]],Holidays))</f>
        <v>4</v>
      </c>
      <c r="J128" s="65"/>
      <c r="K128" s="4">
        <f>IFERROR(Gantt4567[[#This Row],[End]]-Gantt4567[[#This Row],[Start]],0)</f>
        <v>5</v>
      </c>
      <c r="L128" s="77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6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</row>
    <row r="129" spans="1:455" s="30" customFormat="1" x14ac:dyDescent="0.35">
      <c r="A129" s="14" t="s">
        <v>145</v>
      </c>
      <c r="B129" t="s">
        <v>234</v>
      </c>
      <c r="C129" t="s">
        <v>417</v>
      </c>
      <c r="D129" s="56">
        <v>2</v>
      </c>
      <c r="E129" s="59">
        <f>WORKDAY(MAX(F126:F128),1,Holidays)</f>
        <v>46373</v>
      </c>
      <c r="F129" s="59">
        <f>IF(D129=0,E129,WORKDAY(Gantt4567[[#This Row],[Start]],Gantt4567[[#This Row],[Duration (days)]]-1,Holidays))</f>
        <v>46374</v>
      </c>
      <c r="G129" s="57" t="str">
        <f>H125</f>
        <v>6.2.1.1, 6.2.1.2, 6.2.1.3</v>
      </c>
      <c r="H129" s="57" t="str">
        <f t="shared" si="452"/>
        <v>6.2.2</v>
      </c>
      <c r="I129" s="4">
        <f>IF(Gantt4567[[#This Row],[Start]]="","-",NETWORKDAYS(Gantt4567[[#This Row],[Start]],Gantt4567[[#This Row],[End]],Holidays))</f>
        <v>2</v>
      </c>
      <c r="J129" s="65">
        <v>0</v>
      </c>
      <c r="K129" s="4">
        <f>IFERROR(Gantt4567[[#This Row],[End]]-Gantt4567[[#This Row],[Start]],0)</f>
        <v>1</v>
      </c>
      <c r="L129" s="77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6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</row>
    <row r="130" spans="1:455" s="30" customFormat="1" x14ac:dyDescent="0.35">
      <c r="A130" s="11" t="s">
        <v>146</v>
      </c>
      <c r="B130" t="s">
        <v>305</v>
      </c>
      <c r="C130" t="s">
        <v>254</v>
      </c>
      <c r="D130" s="63">
        <f>SUM(D131:D135)</f>
        <v>17</v>
      </c>
      <c r="E130" s="59">
        <f>WORKDAY(F125,1,Holidays)</f>
        <v>46377</v>
      </c>
      <c r="F130" s="59">
        <f>IF(D130=0,E130,WORKDAY(Gantt4567[[#This Row],[Start]],Gantt4567[[#This Row],[Duration (days)]]-1,Holidays))</f>
        <v>46402</v>
      </c>
      <c r="G130" s="57" t="str">
        <f>H126</f>
        <v>6.2.1.4</v>
      </c>
      <c r="H130" s="57" t="str">
        <f t="shared" si="452"/>
        <v>6.2.2.1</v>
      </c>
      <c r="I130" s="4">
        <f>IF(Gantt4567[[#This Row],[Start]]="","-",NETWORKDAYS(Gantt4567[[#This Row],[Start]],Gantt4567[[#This Row],[End]],Holidays))</f>
        <v>17</v>
      </c>
      <c r="J130" s="65">
        <v>0</v>
      </c>
      <c r="K130" s="4">
        <f>IFERROR(Gantt4567[[#This Row],[End]]-Gantt4567[[#This Row],[Start]],0)</f>
        <v>25</v>
      </c>
      <c r="L130" s="77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6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</row>
    <row r="131" spans="1:455" s="30" customFormat="1" x14ac:dyDescent="0.35">
      <c r="A131" s="14" t="s">
        <v>147</v>
      </c>
      <c r="B131" t="s">
        <v>306</v>
      </c>
      <c r="C131" t="s">
        <v>417</v>
      </c>
      <c r="D131" s="56">
        <v>2</v>
      </c>
      <c r="E131" s="59">
        <f>E130</f>
        <v>46377</v>
      </c>
      <c r="F131" s="59">
        <f>IF(D131=0,E131,WORKDAY(Gantt4567[[#This Row],[Start]],Gantt4567[[#This Row],[Duration (days)]]-1,Holidays))</f>
        <v>46378</v>
      </c>
      <c r="G131" s="57" t="str">
        <f>H129</f>
        <v>6.2.2</v>
      </c>
      <c r="H131" s="57" t="str">
        <f t="shared" si="452"/>
        <v>6.2.2.2</v>
      </c>
      <c r="I131" s="4">
        <f>IF(Gantt4567[[#This Row],[Start]]="","-",NETWORKDAYS(Gantt4567[[#This Row],[Start]],Gantt4567[[#This Row],[End]],Holidays))</f>
        <v>2</v>
      </c>
      <c r="J131" s="65">
        <v>0</v>
      </c>
      <c r="K131" s="4">
        <f>IFERROR(Gantt4567[[#This Row],[End]]-Gantt4567[[#This Row],[Start]],0)</f>
        <v>1</v>
      </c>
      <c r="L131" s="77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6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</row>
    <row r="132" spans="1:455" s="30" customFormat="1" x14ac:dyDescent="0.35">
      <c r="A132" s="14" t="s">
        <v>148</v>
      </c>
      <c r="B132" t="s">
        <v>307</v>
      </c>
      <c r="C132" t="s">
        <v>417</v>
      </c>
      <c r="D132" s="56">
        <v>3</v>
      </c>
      <c r="E132" s="59">
        <f>WORKDAY(F131,1,Holidays)</f>
        <v>46379</v>
      </c>
      <c r="F132" s="59">
        <f>IF(D132=0,E132,WORKDAY(Gantt4567[[#This Row],[Start]],Gantt4567[[#This Row],[Duration (days)]]-1,Holidays))</f>
        <v>46385</v>
      </c>
      <c r="G132" s="57" t="str">
        <f>H130</f>
        <v>6.2.2.1</v>
      </c>
      <c r="H132" s="57" t="str">
        <f t="shared" si="452"/>
        <v>6.2.2.3</v>
      </c>
      <c r="I132" s="4">
        <f>IF(Gantt4567[[#This Row],[Start]]="","-",NETWORKDAYS(Gantt4567[[#This Row],[Start]],Gantt4567[[#This Row],[End]],Holidays))</f>
        <v>3</v>
      </c>
      <c r="J132" s="65">
        <v>0</v>
      </c>
      <c r="K132" s="4">
        <f>IFERROR(Gantt4567[[#This Row],[End]]-Gantt4567[[#This Row],[Start]],0)</f>
        <v>6</v>
      </c>
      <c r="L132" s="77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6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</row>
    <row r="133" spans="1:455" s="30" customFormat="1" x14ac:dyDescent="0.35">
      <c r="A133" s="14" t="s">
        <v>149</v>
      </c>
      <c r="B133" t="s">
        <v>308</v>
      </c>
      <c r="C133" t="s">
        <v>417</v>
      </c>
      <c r="D133" s="56">
        <v>2</v>
      </c>
      <c r="E133" s="59">
        <f>WORKDAY(F132,1,Holidays)</f>
        <v>46386</v>
      </c>
      <c r="F133" s="59">
        <f>IF(D133=0,E133,WORKDAY(Gantt4567[[#This Row],[Start]],Gantt4567[[#This Row],[Duration (days)]]-1,Holidays))</f>
        <v>46387</v>
      </c>
      <c r="G133" s="57" t="str">
        <f t="shared" ref="G133:G144" si="453">H131</f>
        <v>6.2.2.2</v>
      </c>
      <c r="H133" s="57" t="str">
        <f t="shared" si="452"/>
        <v>6.2.2.4</v>
      </c>
      <c r="I133" s="4">
        <f>IF(Gantt4567[[#This Row],[Start]]="","-",NETWORKDAYS(Gantt4567[[#This Row],[Start]],Gantt4567[[#This Row],[End]],Holidays))</f>
        <v>2</v>
      </c>
      <c r="J133" s="65">
        <v>0</v>
      </c>
      <c r="K133" s="4">
        <f>IFERROR(Gantt4567[[#This Row],[End]]-Gantt4567[[#This Row],[Start]],0)</f>
        <v>1</v>
      </c>
      <c r="L133" s="77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6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</row>
    <row r="134" spans="1:455" s="30" customFormat="1" x14ac:dyDescent="0.35">
      <c r="A134" s="14" t="s">
        <v>150</v>
      </c>
      <c r="B134" t="s">
        <v>309</v>
      </c>
      <c r="C134" t="s">
        <v>417</v>
      </c>
      <c r="D134" s="56">
        <v>4</v>
      </c>
      <c r="E134" s="59">
        <f>WORKDAY(F133,1,Holidays)</f>
        <v>46391</v>
      </c>
      <c r="F134" s="59">
        <f>IF(D134=0,E134,WORKDAY(Gantt4567[[#This Row],[Start]],Gantt4567[[#This Row],[Duration (days)]]-1,Holidays))</f>
        <v>46394</v>
      </c>
      <c r="G134" s="57" t="str">
        <f t="shared" si="453"/>
        <v>6.2.2.3</v>
      </c>
      <c r="H134" s="57" t="str">
        <f t="shared" si="452"/>
        <v>6.2.2.5</v>
      </c>
      <c r="I134" s="4">
        <f>IF(Gantt4567[[#This Row],[Start]]="","-",NETWORKDAYS(Gantt4567[[#This Row],[Start]],Gantt4567[[#This Row],[End]],Holidays))</f>
        <v>4</v>
      </c>
      <c r="J134" s="65">
        <v>0</v>
      </c>
      <c r="K134" s="4">
        <f>IFERROR(Gantt4567[[#This Row],[End]]-Gantt4567[[#This Row],[Start]],0)</f>
        <v>3</v>
      </c>
      <c r="L134" s="77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6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</row>
    <row r="135" spans="1:455" s="30" customFormat="1" x14ac:dyDescent="0.35">
      <c r="A135" s="14" t="s">
        <v>151</v>
      </c>
      <c r="B135" t="s">
        <v>235</v>
      </c>
      <c r="C135" t="s">
        <v>417</v>
      </c>
      <c r="D135" s="56">
        <v>6</v>
      </c>
      <c r="E135" s="59">
        <f>WORKDAY(F134,1,Holidays)</f>
        <v>46395</v>
      </c>
      <c r="F135" s="59">
        <f>IF(D135=0,E135,WORKDAY(Gantt4567[[#This Row],[Start]],Gantt4567[[#This Row],[Duration (days)]]-1,Holidays))</f>
        <v>46402</v>
      </c>
      <c r="G135" s="57" t="str">
        <f t="shared" si="453"/>
        <v>6.2.2.4</v>
      </c>
      <c r="H135" s="57" t="str">
        <f t="shared" si="452"/>
        <v>6.2.3</v>
      </c>
      <c r="I135" s="4">
        <f>IF(Gantt4567[[#This Row],[Start]]="","-",NETWORKDAYS(Gantt4567[[#This Row],[Start]],Gantt4567[[#This Row],[End]],Holidays))</f>
        <v>6</v>
      </c>
      <c r="J135" s="65">
        <v>0</v>
      </c>
      <c r="K135" s="4">
        <f>IFERROR(Gantt4567[[#This Row],[End]]-Gantt4567[[#This Row],[Start]],0)</f>
        <v>7</v>
      </c>
      <c r="L135" s="77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6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</row>
    <row r="136" spans="1:455" s="30" customFormat="1" x14ac:dyDescent="0.35">
      <c r="A136" s="11" t="s">
        <v>152</v>
      </c>
      <c r="B136" t="s">
        <v>310</v>
      </c>
      <c r="C136" t="s">
        <v>254</v>
      </c>
      <c r="D136" s="63">
        <v>4</v>
      </c>
      <c r="E136" s="59">
        <f>WORKDAY(F130,1,Holidays)</f>
        <v>46405</v>
      </c>
      <c r="F136" s="59">
        <f>IF(D136=0,E136,WORKDAY(Gantt4567[[#This Row],[Start]],Gantt4567[[#This Row],[Duration (days)]]-1,Holidays))</f>
        <v>46408</v>
      </c>
      <c r="G136" s="57" t="str">
        <f t="shared" si="453"/>
        <v>6.2.2.5</v>
      </c>
      <c r="H136" s="57" t="str">
        <f t="shared" si="452"/>
        <v>6.2.4</v>
      </c>
      <c r="I136" s="4">
        <f>IF(Gantt4567[[#This Row],[Start]]="","-",NETWORKDAYS(Gantt4567[[#This Row],[Start]],Gantt4567[[#This Row],[End]],Holidays))</f>
        <v>4</v>
      </c>
      <c r="J136" s="65">
        <v>0</v>
      </c>
      <c r="K136" s="4">
        <f>IFERROR(Gantt4567[[#This Row],[End]]-Gantt4567[[#This Row],[Start]],0)</f>
        <v>3</v>
      </c>
      <c r="L136" s="77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6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</row>
    <row r="137" spans="1:455" s="30" customFormat="1" x14ac:dyDescent="0.35">
      <c r="A137" s="11" t="s">
        <v>153</v>
      </c>
      <c r="B137" t="s">
        <v>236</v>
      </c>
      <c r="C137" t="s">
        <v>254</v>
      </c>
      <c r="D137" s="63">
        <v>2</v>
      </c>
      <c r="E137" s="59">
        <f>WORKDAY(F136,1,Holidays)</f>
        <v>46409</v>
      </c>
      <c r="F137" s="59">
        <f>IF(D137=0,E137,WORKDAY(Gantt4567[[#This Row],[Start]],Gantt4567[[#This Row],[Duration (days)]]-1,Holidays))</f>
        <v>46412</v>
      </c>
      <c r="G137" s="57" t="str">
        <f t="shared" si="453"/>
        <v>6.2.3</v>
      </c>
      <c r="H137" s="57" t="str">
        <f t="shared" si="452"/>
        <v>6.2.5</v>
      </c>
      <c r="I137" s="4">
        <f>IF(Gantt4567[[#This Row],[Start]]="","-",NETWORKDAYS(Gantt4567[[#This Row],[Start]],Gantt4567[[#This Row],[End]],Holidays))</f>
        <v>2</v>
      </c>
      <c r="J137" s="65">
        <v>0</v>
      </c>
      <c r="K137" s="4">
        <f>IFERROR(Gantt4567[[#This Row],[End]]-Gantt4567[[#This Row],[Start]],0)</f>
        <v>3</v>
      </c>
      <c r="L137" s="77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6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</row>
    <row r="138" spans="1:455" s="30" customFormat="1" x14ac:dyDescent="0.35">
      <c r="A138" s="11" t="s">
        <v>154</v>
      </c>
      <c r="B138" t="s">
        <v>311</v>
      </c>
      <c r="C138" t="s">
        <v>254</v>
      </c>
      <c r="D138" s="63">
        <v>2</v>
      </c>
      <c r="E138" s="59">
        <f>WORKDAY(F137,1,Holidays)</f>
        <v>46414</v>
      </c>
      <c r="F138" s="59">
        <f>IF(D138=0,E138,WORKDAY(Gantt4567[[#This Row],[Start]],Gantt4567[[#This Row],[Duration (days)]]-1,Holidays))</f>
        <v>46415</v>
      </c>
      <c r="G138" s="57" t="str">
        <f t="shared" si="453"/>
        <v>6.2.4</v>
      </c>
      <c r="H138" s="57" t="str">
        <f t="shared" si="452"/>
        <v>6.3</v>
      </c>
      <c r="I138" s="4">
        <f>IF(Gantt4567[[#This Row],[Start]]="","-",NETWORKDAYS(Gantt4567[[#This Row],[Start]],Gantt4567[[#This Row],[End]],Holidays))</f>
        <v>2</v>
      </c>
      <c r="J138" s="65">
        <v>0</v>
      </c>
      <c r="K138" s="4">
        <f>IFERROR(Gantt4567[[#This Row],[End]]-Gantt4567[[#This Row],[Start]],0)</f>
        <v>1</v>
      </c>
      <c r="L138" s="77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6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</row>
    <row r="139" spans="1:455" s="30" customFormat="1" x14ac:dyDescent="0.35">
      <c r="A139" s="9" t="s">
        <v>155</v>
      </c>
      <c r="B139" t="s">
        <v>312</v>
      </c>
      <c r="C139" t="s">
        <v>253</v>
      </c>
      <c r="D139" s="29">
        <f>SUM(D140:D143)</f>
        <v>20</v>
      </c>
      <c r="E139" s="59">
        <f>WORKDAY(F124,1,Holidays)</f>
        <v>46416</v>
      </c>
      <c r="F139" s="59">
        <f>IF(D139=0,E139,WORKDAY(Gantt4567[[#This Row],[Start]],Gantt4567[[#This Row],[Duration (days)]]-1,Holidays))</f>
        <v>46443</v>
      </c>
      <c r="G139" s="57" t="str">
        <f t="shared" si="453"/>
        <v>6.2.5</v>
      </c>
      <c r="H139" s="57" t="str">
        <f t="shared" si="452"/>
        <v>6.3.1</v>
      </c>
      <c r="I139" s="4">
        <f>IF(Gantt4567[[#This Row],[Start]]="","-",NETWORKDAYS(Gantt4567[[#This Row],[Start]],Gantt4567[[#This Row],[End]],Holidays))</f>
        <v>20</v>
      </c>
      <c r="J139" s="69">
        <v>0</v>
      </c>
      <c r="K139" s="4">
        <f>IFERROR(Gantt4567[[#This Row],[End]]-Gantt4567[[#This Row],[Start]],0)</f>
        <v>27</v>
      </c>
      <c r="L139" s="77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6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</row>
    <row r="140" spans="1:455" s="30" customFormat="1" x14ac:dyDescent="0.35">
      <c r="A140" s="11" t="s">
        <v>156</v>
      </c>
      <c r="B140" t="s">
        <v>237</v>
      </c>
      <c r="C140" t="s">
        <v>254</v>
      </c>
      <c r="D140" s="56">
        <v>7</v>
      </c>
      <c r="E140" s="59">
        <f>E139</f>
        <v>46416</v>
      </c>
      <c r="F140" s="59">
        <f>IF(D140=0,E140,WORKDAY(Gantt4567[[#This Row],[Start]],Gantt4567[[#This Row],[Duration (days)]]-1,Holidays))</f>
        <v>46426</v>
      </c>
      <c r="G140" s="57" t="str">
        <f t="shared" si="453"/>
        <v>6.3</v>
      </c>
      <c r="H140" s="57" t="str">
        <f t="shared" si="452"/>
        <v>6.3.2</v>
      </c>
      <c r="I140" s="4">
        <f>IF(Gantt4567[[#This Row],[Start]]="","-",NETWORKDAYS(Gantt4567[[#This Row],[Start]],Gantt4567[[#This Row],[End]],Holidays))</f>
        <v>7</v>
      </c>
      <c r="J140" s="69">
        <v>0</v>
      </c>
      <c r="K140" s="4">
        <f>IFERROR(Gantt4567[[#This Row],[End]]-Gantt4567[[#This Row],[Start]],0)</f>
        <v>10</v>
      </c>
      <c r="L140" s="77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6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</row>
    <row r="141" spans="1:455" s="30" customFormat="1" x14ac:dyDescent="0.35">
      <c r="A141" s="11" t="s">
        <v>157</v>
      </c>
      <c r="B141" t="s">
        <v>238</v>
      </c>
      <c r="C141" t="s">
        <v>254</v>
      </c>
      <c r="D141" s="56">
        <v>5</v>
      </c>
      <c r="E141" s="59">
        <f>WORKDAY(F140,1,Holidays)</f>
        <v>46427</v>
      </c>
      <c r="F141" s="59">
        <f>IF(D141=0,E141,WORKDAY(Gantt4567[[#This Row],[Start]],Gantt4567[[#This Row],[Duration (days)]]-1,Holidays))</f>
        <v>46433</v>
      </c>
      <c r="G141" s="57" t="str">
        <f t="shared" si="453"/>
        <v>6.3.1</v>
      </c>
      <c r="H141" s="57" t="str">
        <f t="shared" si="452"/>
        <v>6.3.3</v>
      </c>
      <c r="I141" s="4">
        <f>IF(Gantt4567[[#This Row],[Start]]="","-",NETWORKDAYS(Gantt4567[[#This Row],[Start]],Gantt4567[[#This Row],[End]],Holidays))</f>
        <v>5</v>
      </c>
      <c r="J141" s="69">
        <v>0</v>
      </c>
      <c r="K141" s="4">
        <f>IFERROR(Gantt4567[[#This Row],[End]]-Gantt4567[[#This Row],[Start]],0)</f>
        <v>6</v>
      </c>
      <c r="L141" s="77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6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</row>
    <row r="142" spans="1:455" s="30" customFormat="1" x14ac:dyDescent="0.35">
      <c r="A142" s="11" t="s">
        <v>158</v>
      </c>
      <c r="B142" t="s">
        <v>313</v>
      </c>
      <c r="C142" t="s">
        <v>254</v>
      </c>
      <c r="D142" s="56">
        <v>6</v>
      </c>
      <c r="E142" s="59">
        <f>WORKDAY(F141,1,Holidays)</f>
        <v>46434</v>
      </c>
      <c r="F142" s="59">
        <f>IF(D142=0,E142,WORKDAY(Gantt4567[[#This Row],[Start]],Gantt4567[[#This Row],[Duration (days)]]-1,Holidays))</f>
        <v>46441</v>
      </c>
      <c r="G142" s="57" t="str">
        <f t="shared" si="453"/>
        <v>6.3.2</v>
      </c>
      <c r="H142" s="57" t="str">
        <f t="shared" si="452"/>
        <v>6.3.4</v>
      </c>
      <c r="I142" s="4">
        <f>IF(Gantt4567[[#This Row],[Start]]="","-",NETWORKDAYS(Gantt4567[[#This Row],[Start]],Gantt4567[[#This Row],[End]],Holidays))</f>
        <v>6</v>
      </c>
      <c r="J142" s="69">
        <v>0</v>
      </c>
      <c r="K142" s="4">
        <f>IFERROR(Gantt4567[[#This Row],[End]]-Gantt4567[[#This Row],[Start]],0)</f>
        <v>7</v>
      </c>
      <c r="L142" s="77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6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</row>
    <row r="143" spans="1:455" s="30" customFormat="1" x14ac:dyDescent="0.35">
      <c r="A143" s="11" t="s">
        <v>159</v>
      </c>
      <c r="B143" t="s">
        <v>314</v>
      </c>
      <c r="C143" t="s">
        <v>254</v>
      </c>
      <c r="D143" s="56">
        <v>2</v>
      </c>
      <c r="E143" s="59">
        <f>WORKDAY(F142,1,Holidays)</f>
        <v>46442</v>
      </c>
      <c r="F143" s="59">
        <f>IF(D143=0,E143,WORKDAY(Gantt4567[[#This Row],[Start]],Gantt4567[[#This Row],[Duration (days)]]-1,Holidays))</f>
        <v>46443</v>
      </c>
      <c r="G143" s="57" t="str">
        <f t="shared" si="453"/>
        <v>6.3.3</v>
      </c>
      <c r="H143" s="57" t="str">
        <f t="shared" si="452"/>
        <v>6.4</v>
      </c>
      <c r="I143" s="4">
        <f>IF(Gantt4567[[#This Row],[Start]]="","-",NETWORKDAYS(Gantt4567[[#This Row],[Start]],Gantt4567[[#This Row],[End]],Holidays))</f>
        <v>2</v>
      </c>
      <c r="J143" s="69">
        <v>0</v>
      </c>
      <c r="K143" s="4">
        <f>IFERROR(Gantt4567[[#This Row],[End]]-Gantt4567[[#This Row],[Start]],0)</f>
        <v>1</v>
      </c>
      <c r="L143" s="77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6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</row>
    <row r="144" spans="1:455" s="30" customFormat="1" x14ac:dyDescent="0.35">
      <c r="A144" s="41" t="s">
        <v>160</v>
      </c>
      <c r="B144" s="38" t="s">
        <v>413</v>
      </c>
      <c r="C144" s="38" t="s">
        <v>257</v>
      </c>
      <c r="D144" s="56">
        <v>0</v>
      </c>
      <c r="E144" s="59">
        <f>F143</f>
        <v>46443</v>
      </c>
      <c r="F144" s="59">
        <f>IF(D144=0,E144,WORKDAY(Gantt4567[[#This Row],[Start]],Gantt4567[[#This Row],[Duration (days)]]-1,Holidays))</f>
        <v>46443</v>
      </c>
      <c r="G144" s="57" t="str">
        <f t="shared" si="453"/>
        <v>6.3.4</v>
      </c>
      <c r="H144" s="57" t="str">
        <f t="shared" si="452"/>
        <v>7.0 </v>
      </c>
      <c r="I144" s="4">
        <v>0</v>
      </c>
      <c r="J144" s="69">
        <v>0</v>
      </c>
      <c r="K144" s="4">
        <f>IFERROR(Gantt4567[[#This Row],[End]]-Gantt4567[[#This Row],[Start]],0)</f>
        <v>0</v>
      </c>
      <c r="L144" s="77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6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</row>
    <row r="145" spans="1:455" s="30" customFormat="1" x14ac:dyDescent="0.35">
      <c r="A145" s="6" t="s">
        <v>161</v>
      </c>
      <c r="B145" s="5" t="s">
        <v>278</v>
      </c>
      <c r="C145" s="5" t="s">
        <v>255</v>
      </c>
      <c r="D145" s="61">
        <f>D146+MAX(D152,D159)+D166+D172+D173-(NETWORKDAYS(F159,F152,Holidays)-1)</f>
        <v>98</v>
      </c>
      <c r="E145" s="58">
        <f>WORKDAY(F118,1,Holidays)</f>
        <v>46444</v>
      </c>
      <c r="F145" s="58">
        <f>F174</f>
        <v>46584</v>
      </c>
      <c r="G145" s="57" t="str">
        <f>H143</f>
        <v>6.4</v>
      </c>
      <c r="H145" s="57" t="str">
        <f t="shared" si="452"/>
        <v>7.1 </v>
      </c>
      <c r="I145" s="4">
        <f>IF(Gantt4567[[#This Row],[Start]]="","-",NETWORKDAYS(Gantt4567[[#This Row],[Start]],Gantt4567[[#This Row],[End]],Holidays))</f>
        <v>98</v>
      </c>
      <c r="J145" s="69">
        <v>0</v>
      </c>
      <c r="K145" s="4">
        <f>IFERROR(Gantt4567[[#This Row],[End]]-Gantt4567[[#This Row],[Start]],0)</f>
        <v>140</v>
      </c>
      <c r="L145" s="77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6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</row>
    <row r="146" spans="1:455" s="30" customFormat="1" x14ac:dyDescent="0.35">
      <c r="A146" s="9" t="s">
        <v>162</v>
      </c>
      <c r="B146" t="s">
        <v>279</v>
      </c>
      <c r="C146" t="s">
        <v>253</v>
      </c>
      <c r="D146" s="29">
        <f>SUM(D147:D151)</f>
        <v>30</v>
      </c>
      <c r="E146" s="59">
        <f>E145</f>
        <v>46444</v>
      </c>
      <c r="F146" s="59">
        <f>IF(D146=0,E146,WORKDAY(Gantt4567[[#This Row],[Start]],Gantt4567[[#This Row],[Duration (days)]]-1,Holidays))</f>
        <v>46489</v>
      </c>
      <c r="G146" s="57" t="str">
        <f t="shared" ref="G146:G150" si="454">H144</f>
        <v>7.0 </v>
      </c>
      <c r="H146" s="57" t="str">
        <f t="shared" si="452"/>
        <v>7.1.1</v>
      </c>
      <c r="I146" s="4">
        <f>IF(Gantt4567[[#This Row],[Start]]="","-",NETWORKDAYS(Gantt4567[[#This Row],[Start]],Gantt4567[[#This Row],[End]],Holidays))</f>
        <v>30</v>
      </c>
      <c r="J146" s="69">
        <v>0</v>
      </c>
      <c r="K146" s="4">
        <f>IFERROR(Gantt4567[[#This Row],[End]]-Gantt4567[[#This Row],[Start]],0)</f>
        <v>45</v>
      </c>
      <c r="L146" s="77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6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</row>
    <row r="147" spans="1:455" s="30" customFormat="1" x14ac:dyDescent="0.35">
      <c r="A147" s="11" t="s">
        <v>163</v>
      </c>
      <c r="B147" t="s">
        <v>280</v>
      </c>
      <c r="C147" t="s">
        <v>254</v>
      </c>
      <c r="D147" s="56">
        <v>8</v>
      </c>
      <c r="E147" s="59">
        <f>E146</f>
        <v>46444</v>
      </c>
      <c r="F147" s="59">
        <f>IF(D147=0,E147,WORKDAY(Gantt4567[[#This Row],[Start]],Gantt4567[[#This Row],[Duration (days)]]-1,Holidays))</f>
        <v>46455</v>
      </c>
      <c r="G147" s="57" t="str">
        <f t="shared" si="454"/>
        <v>7.1 </v>
      </c>
      <c r="H147" s="57" t="str">
        <f t="shared" si="452"/>
        <v>7.1.2</v>
      </c>
      <c r="I147" s="4">
        <f>IF(Gantt4567[[#This Row],[Start]]="","-",NETWORKDAYS(Gantt4567[[#This Row],[Start]],Gantt4567[[#This Row],[End]],Holidays))</f>
        <v>8</v>
      </c>
      <c r="J147" s="69">
        <v>0</v>
      </c>
      <c r="K147" s="4">
        <f>IFERROR(Gantt4567[[#This Row],[End]]-Gantt4567[[#This Row],[Start]],0)</f>
        <v>11</v>
      </c>
      <c r="L147" s="77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6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</row>
    <row r="148" spans="1:455" s="30" customFormat="1" x14ac:dyDescent="0.35">
      <c r="A148" s="11" t="s">
        <v>164</v>
      </c>
      <c r="B148" t="s">
        <v>239</v>
      </c>
      <c r="C148" t="s">
        <v>254</v>
      </c>
      <c r="D148" s="56">
        <v>6</v>
      </c>
      <c r="E148" s="59">
        <f>WORKDAY(F147,1,Holidays)</f>
        <v>46456</v>
      </c>
      <c r="F148" s="59">
        <f>IF(D148=0,E148,WORKDAY(Gantt4567[[#This Row],[Start]],Gantt4567[[#This Row],[Duration (days)]]-1,Holidays))</f>
        <v>46463</v>
      </c>
      <c r="G148" s="57" t="str">
        <f t="shared" si="454"/>
        <v>7.1.1</v>
      </c>
      <c r="H148" s="57" t="str">
        <f t="shared" si="452"/>
        <v>7.1.3</v>
      </c>
      <c r="I148" s="4">
        <f>IF(Gantt4567[[#This Row],[Start]]="","-",NETWORKDAYS(Gantt4567[[#This Row],[Start]],Gantt4567[[#This Row],[End]],Holidays))</f>
        <v>6</v>
      </c>
      <c r="J148" s="69">
        <v>0</v>
      </c>
      <c r="K148" s="4">
        <f>IFERROR(Gantt4567[[#This Row],[End]]-Gantt4567[[#This Row],[Start]],0)</f>
        <v>7</v>
      </c>
      <c r="L148" s="77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6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</row>
    <row r="149" spans="1:455" s="30" customFormat="1" x14ac:dyDescent="0.35">
      <c r="A149" s="11" t="s">
        <v>165</v>
      </c>
      <c r="B149" t="s">
        <v>240</v>
      </c>
      <c r="C149" t="s">
        <v>254</v>
      </c>
      <c r="D149" s="56">
        <v>5</v>
      </c>
      <c r="E149" s="59">
        <f>WORKDAY(F148,1,Holidays)</f>
        <v>46464</v>
      </c>
      <c r="F149" s="59">
        <f>IF(D149=0,E149,WORKDAY(Gantt4567[[#This Row],[Start]],Gantt4567[[#This Row],[Duration (days)]]-1,Holidays))</f>
        <v>46470</v>
      </c>
      <c r="G149" s="57" t="str">
        <f t="shared" si="454"/>
        <v>7.1.2</v>
      </c>
      <c r="H149" s="57" t="str">
        <f t="shared" si="452"/>
        <v>7.1.4</v>
      </c>
      <c r="I149" s="4">
        <f>IF(Gantt4567[[#This Row],[Start]]="","-",NETWORKDAYS(Gantt4567[[#This Row],[Start]],Gantt4567[[#This Row],[End]],Holidays))</f>
        <v>5</v>
      </c>
      <c r="J149" s="69">
        <v>0</v>
      </c>
      <c r="K149" s="4">
        <f>IFERROR(Gantt4567[[#This Row],[End]]-Gantt4567[[#This Row],[Start]],0)</f>
        <v>6</v>
      </c>
      <c r="L149" s="77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6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</row>
    <row r="150" spans="1:455" s="30" customFormat="1" x14ac:dyDescent="0.35">
      <c r="A150" s="11" t="s">
        <v>166</v>
      </c>
      <c r="B150" t="s">
        <v>281</v>
      </c>
      <c r="C150" t="s">
        <v>254</v>
      </c>
      <c r="D150" s="56">
        <v>7</v>
      </c>
      <c r="E150" s="59">
        <f>WORKDAY(F149,1,Holidays)</f>
        <v>46471</v>
      </c>
      <c r="F150" s="59">
        <f>IF(D150=0,E150,WORKDAY(Gantt4567[[#This Row],[Start]],Gantt4567[[#This Row],[Duration (days)]]-1,Holidays))</f>
        <v>46483</v>
      </c>
      <c r="G150" s="57" t="str">
        <f t="shared" si="454"/>
        <v>7.1.3</v>
      </c>
      <c r="H150" s="57" t="str">
        <f t="shared" si="452"/>
        <v>7.1.5</v>
      </c>
      <c r="I150" s="4">
        <f>IF(Gantt4567[[#This Row],[Start]]="","-",NETWORKDAYS(Gantt4567[[#This Row],[Start]],Gantt4567[[#This Row],[End]],Holidays))</f>
        <v>7</v>
      </c>
      <c r="J150" s="69">
        <v>0</v>
      </c>
      <c r="K150" s="4">
        <f>IFERROR(Gantt4567[[#This Row],[End]]-Gantt4567[[#This Row],[Start]],0)</f>
        <v>12</v>
      </c>
      <c r="L150" s="77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6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</row>
    <row r="151" spans="1:455" s="30" customFormat="1" x14ac:dyDescent="0.35">
      <c r="A151" s="11" t="s">
        <v>167</v>
      </c>
      <c r="B151" t="s">
        <v>282</v>
      </c>
      <c r="C151" t="s">
        <v>254</v>
      </c>
      <c r="D151" s="56">
        <v>4</v>
      </c>
      <c r="E151" s="59">
        <f>WORKDAY(F150,1,Holidays)</f>
        <v>46484</v>
      </c>
      <c r="F151" s="59">
        <f>IF(D151=0,E151,WORKDAY(Gantt4567[[#This Row],[Start]],Gantt4567[[#This Row],[Duration (days)]]-1,Holidays))</f>
        <v>46489</v>
      </c>
      <c r="G151" s="57" t="str">
        <f>H149</f>
        <v>7.1.4</v>
      </c>
      <c r="H151" s="57" t="str">
        <f>_xlfn.TEXTJOIN(", ",TRUE,A152,A159)</f>
        <v>7.2 , 7.3</v>
      </c>
      <c r="I151" s="4">
        <f>IF(Gantt4567[[#This Row],[Start]]="","-",NETWORKDAYS(Gantt4567[[#This Row],[Start]],Gantt4567[[#This Row],[End]],Holidays))</f>
        <v>4</v>
      </c>
      <c r="J151" s="69">
        <v>0</v>
      </c>
      <c r="K151" s="4">
        <f>IFERROR(Gantt4567[[#This Row],[End]]-Gantt4567[[#This Row],[Start]],0)</f>
        <v>5</v>
      </c>
      <c r="L151" s="77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6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</row>
    <row r="152" spans="1:455" s="30" customFormat="1" x14ac:dyDescent="0.35">
      <c r="A152" s="9" t="s">
        <v>168</v>
      </c>
      <c r="B152" t="s">
        <v>283</v>
      </c>
      <c r="C152" t="s">
        <v>253</v>
      </c>
      <c r="D152" s="29">
        <f>SUM(D153:D154)+MAX(D155:D156)+D157+D158</f>
        <v>33</v>
      </c>
      <c r="E152" s="59">
        <f>WORKDAY(F151,1,Holidays)</f>
        <v>46490</v>
      </c>
      <c r="F152" s="59">
        <f>IF(D152=0,E152,WORKDAY(Gantt4567[[#This Row],[Start]],Gantt4567[[#This Row],[Duration (days)]]-1,Holidays))</f>
        <v>46534</v>
      </c>
      <c r="G152" s="57" t="str">
        <f>H150</f>
        <v>7.1.5</v>
      </c>
      <c r="H152" s="57" t="str">
        <f>A153</f>
        <v>7.2.1</v>
      </c>
      <c r="I152" s="4">
        <f>IF(Gantt4567[[#This Row],[Start]]="","-",NETWORKDAYS(Gantt4567[[#This Row],[Start]],Gantt4567[[#This Row],[End]],Holidays))</f>
        <v>33</v>
      </c>
      <c r="J152" s="65"/>
      <c r="K152" s="4">
        <f>IFERROR(Gantt4567[[#This Row],[End]]-Gantt4567[[#This Row],[Start]],0)</f>
        <v>44</v>
      </c>
      <c r="L152" s="77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6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</row>
    <row r="153" spans="1:455" s="30" customFormat="1" x14ac:dyDescent="0.35">
      <c r="A153" s="11" t="s">
        <v>169</v>
      </c>
      <c r="B153" t="s">
        <v>284</v>
      </c>
      <c r="C153" t="s">
        <v>254</v>
      </c>
      <c r="D153" s="56">
        <v>3</v>
      </c>
      <c r="E153" s="59">
        <f>E152</f>
        <v>46490</v>
      </c>
      <c r="F153" s="59">
        <f>IF(D153=0,E153,WORKDAY(Gantt4567[[#This Row],[Start]],Gantt4567[[#This Row],[Duration (days)]]-1,Holidays))</f>
        <v>46492</v>
      </c>
      <c r="G153" s="57" t="str">
        <f>A152</f>
        <v>7.2 </v>
      </c>
      <c r="H153" s="57" t="str">
        <f>A154</f>
        <v>7.2.2</v>
      </c>
      <c r="I153" s="4">
        <f>IF(Gantt4567[[#This Row],[Start]]="","-",NETWORKDAYS(Gantt4567[[#This Row],[Start]],Gantt4567[[#This Row],[End]],Holidays))</f>
        <v>3</v>
      </c>
      <c r="J153" s="65"/>
      <c r="K153" s="4">
        <f>IFERROR(Gantt4567[[#This Row],[End]]-Gantt4567[[#This Row],[Start]],0)</f>
        <v>2</v>
      </c>
      <c r="L153" s="77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6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</row>
    <row r="154" spans="1:455" s="30" customFormat="1" x14ac:dyDescent="0.35">
      <c r="A154" s="11" t="s">
        <v>170</v>
      </c>
      <c r="B154" t="s">
        <v>285</v>
      </c>
      <c r="C154" t="s">
        <v>254</v>
      </c>
      <c r="D154" s="56">
        <v>6</v>
      </c>
      <c r="E154" s="59">
        <f>WORKDAY(F153,1,Holidays)</f>
        <v>46493</v>
      </c>
      <c r="F154" s="59">
        <f>IF(D154=0,E154,WORKDAY(Gantt4567[[#This Row],[Start]],Gantt4567[[#This Row],[Duration (days)]]-1,Holidays))</f>
        <v>46500</v>
      </c>
      <c r="G154" s="57" t="str">
        <f t="shared" ref="G154" si="455">H152</f>
        <v>7.2.1</v>
      </c>
      <c r="H154" s="57" t="str">
        <f>_xlfn.TEXTJOIN(", ",TRUE,A155:A156)</f>
        <v>7.2.3, 7.2.4</v>
      </c>
      <c r="I154" s="4">
        <f>IF(Gantt4567[[#This Row],[Start]]="","-",NETWORKDAYS(Gantt4567[[#This Row],[Start]],Gantt4567[[#This Row],[End]],Holidays))</f>
        <v>6</v>
      </c>
      <c r="J154" s="65"/>
      <c r="K154" s="4">
        <f>IFERROR(Gantt4567[[#This Row],[End]]-Gantt4567[[#This Row],[Start]],0)</f>
        <v>7</v>
      </c>
      <c r="L154" s="77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6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</row>
    <row r="155" spans="1:455" s="30" customFormat="1" x14ac:dyDescent="0.35">
      <c r="A155" s="24" t="s">
        <v>171</v>
      </c>
      <c r="B155" t="s">
        <v>241</v>
      </c>
      <c r="C155" t="s">
        <v>254</v>
      </c>
      <c r="D155" s="56">
        <v>8</v>
      </c>
      <c r="E155" s="59">
        <f>WORKDAY(F154,1,Holidays)</f>
        <v>46503</v>
      </c>
      <c r="F155" s="59">
        <f>IF(D155=0,E155,WORKDAY(Gantt4567[[#This Row],[Start]],Gantt4567[[#This Row],[Duration (days)]]-1,Holidays))</f>
        <v>46512</v>
      </c>
      <c r="G155" s="57" t="str">
        <f>H153</f>
        <v>7.2.2</v>
      </c>
      <c r="H155" s="57" t="str">
        <f>A157</f>
        <v>7.2.5</v>
      </c>
      <c r="I155" s="4">
        <f>IF(Gantt4567[[#This Row],[Start]]="","-",NETWORKDAYS(Gantt4567[[#This Row],[Start]],Gantt4567[[#This Row],[End]],Holidays))</f>
        <v>8</v>
      </c>
      <c r="J155" s="65"/>
      <c r="K155" s="4">
        <f>IFERROR(Gantt4567[[#This Row],[End]]-Gantt4567[[#This Row],[Start]],0)</f>
        <v>9</v>
      </c>
      <c r="L155" s="77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6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</row>
    <row r="156" spans="1:455" s="30" customFormat="1" x14ac:dyDescent="0.35">
      <c r="A156" s="24" t="s">
        <v>172</v>
      </c>
      <c r="B156" t="s">
        <v>286</v>
      </c>
      <c r="C156" t="s">
        <v>254</v>
      </c>
      <c r="D156" s="56">
        <v>5</v>
      </c>
      <c r="E156" s="59">
        <f>WORKDAY(F154,1,Holidays)</f>
        <v>46503</v>
      </c>
      <c r="F156" s="59">
        <f>IF(D156=0,E156,WORKDAY(Gantt4567[[#This Row],[Start]],Gantt4567[[#This Row],[Duration (days)]]-1,Holidays))</f>
        <v>46507</v>
      </c>
      <c r="G156" s="57" t="str">
        <f>H153</f>
        <v>7.2.2</v>
      </c>
      <c r="H156" s="57" t="str">
        <f>A157</f>
        <v>7.2.5</v>
      </c>
      <c r="I156" s="4">
        <f>IF(Gantt4567[[#This Row],[Start]]="","-",NETWORKDAYS(Gantt4567[[#This Row],[Start]],Gantt4567[[#This Row],[End]],Holidays))</f>
        <v>5</v>
      </c>
      <c r="J156" s="65"/>
      <c r="K156" s="4">
        <f>IFERROR(Gantt4567[[#This Row],[End]]-Gantt4567[[#This Row],[Start]],0)</f>
        <v>4</v>
      </c>
      <c r="L156" s="77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6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4"/>
      <c r="QL156" s="4"/>
      <c r="QM156" s="4"/>
    </row>
    <row r="157" spans="1:455" s="30" customFormat="1" x14ac:dyDescent="0.35">
      <c r="A157" s="11" t="s">
        <v>173</v>
      </c>
      <c r="B157" t="s">
        <v>287</v>
      </c>
      <c r="C157" t="s">
        <v>254</v>
      </c>
      <c r="D157" s="56">
        <v>8</v>
      </c>
      <c r="E157" s="59">
        <f>WORKDAY(MAX(F155:F156),1,Holidays)</f>
        <v>46513</v>
      </c>
      <c r="F157" s="59">
        <f>IF(D157=0,E157,WORKDAY(Gantt4567[[#This Row],[Start]],Gantt4567[[#This Row],[Duration (days)]]-1,Holidays))</f>
        <v>46524</v>
      </c>
      <c r="G157" s="57" t="str">
        <f>H154</f>
        <v>7.2.3, 7.2.4</v>
      </c>
      <c r="H157" s="57" t="str">
        <f>A158</f>
        <v>7.2.6</v>
      </c>
      <c r="I157" s="4">
        <f>IF(Gantt4567[[#This Row],[Start]]="","-",NETWORKDAYS(Gantt4567[[#This Row],[Start]],Gantt4567[[#This Row],[End]],Holidays))</f>
        <v>8</v>
      </c>
      <c r="J157" s="65"/>
      <c r="K157" s="4">
        <f>IFERROR(Gantt4567[[#This Row],[End]]-Gantt4567[[#This Row],[Start]],0)</f>
        <v>11</v>
      </c>
      <c r="L157" s="77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6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4"/>
      <c r="QL157" s="4"/>
      <c r="QM157" s="4"/>
    </row>
    <row r="158" spans="1:455" s="30" customFormat="1" x14ac:dyDescent="0.35">
      <c r="A158" s="11" t="s">
        <v>174</v>
      </c>
      <c r="B158" t="s">
        <v>288</v>
      </c>
      <c r="C158" t="s">
        <v>254</v>
      </c>
      <c r="D158" s="56">
        <v>8</v>
      </c>
      <c r="E158" s="59">
        <f>WORKDAY(F157,1,Holidays)</f>
        <v>46525</v>
      </c>
      <c r="F158" s="59">
        <f>IF(D158=0,E158,WORKDAY(Gantt4567[[#This Row],[Start]],Gantt4567[[#This Row],[Duration (days)]]-1,Holidays))</f>
        <v>46534</v>
      </c>
      <c r="G158" s="57" t="str">
        <f>H155</f>
        <v>7.2.5</v>
      </c>
      <c r="H158" s="57" t="str">
        <f>A171</f>
        <v>7.4.5</v>
      </c>
      <c r="I158" s="4">
        <f>IF(Gantt4567[[#This Row],[Start]]="","-",NETWORKDAYS(Gantt4567[[#This Row],[Start]],Gantt4567[[#This Row],[End]],Holidays))</f>
        <v>8</v>
      </c>
      <c r="J158" s="65"/>
      <c r="K158" s="4">
        <f>IFERROR(Gantt4567[[#This Row],[End]]-Gantt4567[[#This Row],[Start]],0)</f>
        <v>9</v>
      </c>
      <c r="L158" s="77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4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6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4"/>
      <c r="QL158" s="4"/>
      <c r="QM158" s="4"/>
    </row>
    <row r="159" spans="1:455" s="30" customFormat="1" x14ac:dyDescent="0.35">
      <c r="A159" s="9" t="s">
        <v>175</v>
      </c>
      <c r="B159" t="s">
        <v>289</v>
      </c>
      <c r="C159" t="s">
        <v>253</v>
      </c>
      <c r="D159" s="29">
        <f>D160+D161+MAX(D162+D163,D164)+D165</f>
        <v>25</v>
      </c>
      <c r="E159" s="59">
        <f>WORKDAY(F151,1,Holidays)</f>
        <v>46490</v>
      </c>
      <c r="F159" s="59">
        <f>IF(D159=0,E159,WORKDAY(Gantt4567[[#This Row],[Start]],Gantt4567[[#This Row],[Duration (days)]]-1,Holidays))</f>
        <v>46524</v>
      </c>
      <c r="G159" s="57" t="str">
        <f>H150</f>
        <v>7.1.5</v>
      </c>
      <c r="H159" s="57" t="str">
        <f>A160</f>
        <v>7.3.1</v>
      </c>
      <c r="I159" s="4">
        <f>IF(Gantt4567[[#This Row],[Start]]="","-",NETWORKDAYS(Gantt4567[[#This Row],[Start]],Gantt4567[[#This Row],[End]],Holidays))</f>
        <v>25</v>
      </c>
      <c r="J159" s="69">
        <v>0</v>
      </c>
      <c r="K159" s="4">
        <f>IFERROR(Gantt4567[[#This Row],[End]]-Gantt4567[[#This Row],[Start]],0)</f>
        <v>34</v>
      </c>
      <c r="L159" s="77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6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</row>
    <row r="160" spans="1:455" s="30" customFormat="1" x14ac:dyDescent="0.35">
      <c r="A160" s="11" t="s">
        <v>176</v>
      </c>
      <c r="B160" t="s">
        <v>242</v>
      </c>
      <c r="C160" t="s">
        <v>254</v>
      </c>
      <c r="D160" s="56">
        <v>6</v>
      </c>
      <c r="E160" s="59">
        <f>E159</f>
        <v>46490</v>
      </c>
      <c r="F160" s="59">
        <f>IF(D160=0,E160,WORKDAY(Gantt4567[[#This Row],[Start]],Gantt4567[[#This Row],[Duration (days)]]-1,Holidays))</f>
        <v>46497</v>
      </c>
      <c r="G160" s="57" t="str">
        <f>A159</f>
        <v>7.3</v>
      </c>
      <c r="H160" s="57" t="str">
        <f>A161</f>
        <v>7.3.2</v>
      </c>
      <c r="I160" s="4">
        <f>IF(Gantt4567[[#This Row],[Start]]="","-",NETWORKDAYS(Gantt4567[[#This Row],[Start]],Gantt4567[[#This Row],[End]],Holidays))</f>
        <v>6</v>
      </c>
      <c r="J160" s="69">
        <v>0</v>
      </c>
      <c r="K160" s="4">
        <f>IFERROR(Gantt4567[[#This Row],[End]]-Gantt4567[[#This Row],[Start]],0)</f>
        <v>7</v>
      </c>
      <c r="L160" s="77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6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</row>
    <row r="161" spans="1:455" x14ac:dyDescent="0.35">
      <c r="A161" s="11" t="s">
        <v>177</v>
      </c>
      <c r="B161" t="s">
        <v>290</v>
      </c>
      <c r="C161" t="s">
        <v>254</v>
      </c>
      <c r="D161" s="56">
        <v>8</v>
      </c>
      <c r="E161" s="59">
        <f>WORKDAY(F160,1,Holidays)</f>
        <v>46498</v>
      </c>
      <c r="F161" s="59">
        <f>IF(D161=0,E161,WORKDAY(Gantt4567[[#This Row],[Start]],Gantt4567[[#This Row],[Duration (days)]]-1,Holidays))</f>
        <v>46507</v>
      </c>
      <c r="G161" s="57" t="str">
        <f>H159</f>
        <v>7.3.1</v>
      </c>
      <c r="H161" s="57" t="str">
        <f>_xlfn.TEXTJOIN(", ",TRUE,A162,A164)</f>
        <v>7.3.3, 7.3.5</v>
      </c>
      <c r="I161" s="4">
        <f>IF(Gantt4567[[#This Row],[Start]]="","-",NETWORKDAYS(Gantt4567[[#This Row],[Start]],Gantt4567[[#This Row],[End]],Holidays))</f>
        <v>8</v>
      </c>
      <c r="J161" s="69">
        <v>0</v>
      </c>
      <c r="K161" s="4">
        <f>IFERROR(Gantt4567[[#This Row],[End]]-Gantt4567[[#This Row],[Start]],0)</f>
        <v>9</v>
      </c>
      <c r="L161" s="77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6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</row>
    <row r="162" spans="1:455" x14ac:dyDescent="0.35">
      <c r="A162" s="11" t="s">
        <v>178</v>
      </c>
      <c r="B162" t="s">
        <v>291</v>
      </c>
      <c r="C162" t="s">
        <v>254</v>
      </c>
      <c r="D162" s="56">
        <v>5</v>
      </c>
      <c r="E162" s="59">
        <f>WORKDAY(F161,1,Holidays)</f>
        <v>46510</v>
      </c>
      <c r="F162" s="59">
        <f>IF(D162=0,E162,WORKDAY(Gantt4567[[#This Row],[Start]],Gantt4567[[#This Row],[Duration (days)]]-1,Holidays))</f>
        <v>46514</v>
      </c>
      <c r="G162" s="57" t="str">
        <f>H160</f>
        <v>7.3.2</v>
      </c>
      <c r="H162" s="57" t="str">
        <f>A163</f>
        <v>7.3.4</v>
      </c>
      <c r="I162" s="4">
        <f>IF(Gantt4567[[#This Row],[Start]]="","-",NETWORKDAYS(Gantt4567[[#This Row],[Start]],Gantt4567[[#This Row],[End]],Holidays))</f>
        <v>5</v>
      </c>
      <c r="J162" s="65">
        <v>0</v>
      </c>
      <c r="K162" s="4">
        <f>IFERROR(Gantt4567[[#This Row],[End]]-Gantt4567[[#This Row],[Start]],0)</f>
        <v>4</v>
      </c>
      <c r="L162" s="77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6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</row>
    <row r="163" spans="1:455" x14ac:dyDescent="0.35">
      <c r="A163" s="24" t="s">
        <v>179</v>
      </c>
      <c r="B163" t="s">
        <v>243</v>
      </c>
      <c r="C163" t="s">
        <v>254</v>
      </c>
      <c r="D163" s="56">
        <v>5</v>
      </c>
      <c r="E163" s="59">
        <f>WORKDAY(F162,1,Holidays)</f>
        <v>46517</v>
      </c>
      <c r="F163" s="59">
        <f>IF(D163=0,E163,WORKDAY(Gantt4567[[#This Row],[Start]],Gantt4567[[#This Row],[Duration (days)]]-1,Holidays))</f>
        <v>46521</v>
      </c>
      <c r="G163" s="57" t="str">
        <f>A162</f>
        <v>7.3.3</v>
      </c>
      <c r="H163" s="57" t="str">
        <f>A165</f>
        <v>7.3.6</v>
      </c>
      <c r="I163" s="4">
        <f>IF(Gantt4567[[#This Row],[Start]]="","-",NETWORKDAYS(Gantt4567[[#This Row],[Start]],Gantt4567[[#This Row],[End]],Holidays))</f>
        <v>5</v>
      </c>
      <c r="J163" s="65">
        <v>0</v>
      </c>
      <c r="K163" s="4">
        <f>IFERROR(Gantt4567[[#This Row],[End]]-Gantt4567[[#This Row],[Start]],0)</f>
        <v>4</v>
      </c>
      <c r="L163" s="77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6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</row>
    <row r="164" spans="1:455" x14ac:dyDescent="0.35">
      <c r="A164" s="24" t="s">
        <v>180</v>
      </c>
      <c r="B164" t="s">
        <v>292</v>
      </c>
      <c r="C164" t="s">
        <v>254</v>
      </c>
      <c r="D164" s="56">
        <v>6</v>
      </c>
      <c r="E164" s="59">
        <f>WORKDAY(F161,1,Holidays)</f>
        <v>46510</v>
      </c>
      <c r="F164" s="59">
        <f>IF(D164=0,E164,WORKDAY(Gantt4567[[#This Row],[Start]],Gantt4567[[#This Row],[Duration (days)]]-1,Holidays))</f>
        <v>46517</v>
      </c>
      <c r="G164" s="57" t="str">
        <f>H160</f>
        <v>7.3.2</v>
      </c>
      <c r="H164" s="57" t="str">
        <f t="shared" ref="H164:H176" si="456">A165</f>
        <v>7.3.6</v>
      </c>
      <c r="I164" s="4">
        <f>IF(Gantt4567[[#This Row],[Start]]="","-",NETWORKDAYS(Gantt4567[[#This Row],[Start]],Gantt4567[[#This Row],[End]],Holidays))</f>
        <v>6</v>
      </c>
      <c r="K164" s="4">
        <f>IFERROR(Gantt4567[[#This Row],[End]]-Gantt4567[[#This Row],[Start]],0)</f>
        <v>7</v>
      </c>
      <c r="L164" s="77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6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4"/>
      <c r="QL164" s="4"/>
      <c r="QM164" s="4"/>
    </row>
    <row r="165" spans="1:455" x14ac:dyDescent="0.35">
      <c r="A165" s="11" t="s">
        <v>181</v>
      </c>
      <c r="B165" t="s">
        <v>293</v>
      </c>
      <c r="C165" t="s">
        <v>254</v>
      </c>
      <c r="D165" s="56">
        <v>1</v>
      </c>
      <c r="E165" s="59">
        <f>WORKDAY(MAX(F163:F164),1,Holidays)</f>
        <v>46524</v>
      </c>
      <c r="F165" s="59">
        <f>IF(D165=0,E165,WORKDAY(Gantt4567[[#This Row],[Start]],Gantt4567[[#This Row],[Duration (days)]]-1,Holidays))</f>
        <v>46524</v>
      </c>
      <c r="G165" s="57" t="str">
        <f>_xlfn.TEXTJOIN(", ",TRUE,H162,A164)</f>
        <v>7.3.4, 7.3.5</v>
      </c>
      <c r="H165" s="57" t="str">
        <f t="shared" si="456"/>
        <v>7.4</v>
      </c>
      <c r="I165" s="4">
        <f>IF(Gantt4567[[#This Row],[Start]]="","-",NETWORKDAYS(Gantt4567[[#This Row],[Start]],Gantt4567[[#This Row],[End]],Holidays))</f>
        <v>1</v>
      </c>
      <c r="J165" s="69">
        <v>0</v>
      </c>
      <c r="K165" s="4">
        <f>IFERROR(Gantt4567[[#This Row],[End]]-Gantt4567[[#This Row],[Start]],0)</f>
        <v>0</v>
      </c>
      <c r="L165" s="77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6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</row>
    <row r="166" spans="1:455" x14ac:dyDescent="0.35">
      <c r="A166" s="15" t="s">
        <v>182</v>
      </c>
      <c r="B166" t="s">
        <v>294</v>
      </c>
      <c r="C166" t="s">
        <v>253</v>
      </c>
      <c r="D166" s="29">
        <f>SUM(D167:D171)</f>
        <v>25</v>
      </c>
      <c r="E166" s="59">
        <f>WORKDAY(F159,1,Holidays)</f>
        <v>46525</v>
      </c>
      <c r="F166" s="59">
        <f>IF(D166=0,E166,WORKDAY(Gantt4567[[#This Row],[Start]],Gantt4567[[#This Row],[Duration (days)]]-1,Holidays))</f>
        <v>46560</v>
      </c>
      <c r="G166" s="57" t="str">
        <f>H163</f>
        <v>7.3.6</v>
      </c>
      <c r="H166" s="57" t="str">
        <f t="shared" si="456"/>
        <v>7.4.1</v>
      </c>
      <c r="I166" s="4">
        <f>IF(Gantt4567[[#This Row],[Start]]="","-",NETWORKDAYS(Gantt4567[[#This Row],[Start]],Gantt4567[[#This Row],[End]],Holidays))</f>
        <v>25</v>
      </c>
      <c r="J166" s="69">
        <v>0</v>
      </c>
      <c r="K166" s="4">
        <f>IFERROR(Gantt4567[[#This Row],[End]]-Gantt4567[[#This Row],[Start]],0)</f>
        <v>35</v>
      </c>
      <c r="L166" s="77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6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</row>
    <row r="167" spans="1:455" x14ac:dyDescent="0.35">
      <c r="A167" s="11" t="s">
        <v>183</v>
      </c>
      <c r="B167" t="s">
        <v>244</v>
      </c>
      <c r="C167" t="s">
        <v>254</v>
      </c>
      <c r="D167" s="56">
        <v>9</v>
      </c>
      <c r="E167" s="59">
        <f>E166</f>
        <v>46525</v>
      </c>
      <c r="F167" s="59">
        <f>IF(D167=0,E167,WORKDAY(Gantt4567[[#This Row],[Start]],Gantt4567[[#This Row],[Duration (days)]]-1,Holidays))</f>
        <v>46535</v>
      </c>
      <c r="G167" s="57" t="str">
        <f>H165</f>
        <v>7.4</v>
      </c>
      <c r="H167" s="57" t="str">
        <f t="shared" si="456"/>
        <v>7.4.2</v>
      </c>
      <c r="I167" s="4">
        <f>IF(Gantt4567[[#This Row],[Start]]="","-",NETWORKDAYS(Gantt4567[[#This Row],[Start]],Gantt4567[[#This Row],[End]],Holidays))</f>
        <v>9</v>
      </c>
      <c r="J167" s="69">
        <v>0</v>
      </c>
      <c r="K167" s="4">
        <f>IFERROR(Gantt4567[[#This Row],[End]]-Gantt4567[[#This Row],[Start]],0)</f>
        <v>10</v>
      </c>
      <c r="L167" s="77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6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</row>
    <row r="168" spans="1:455" x14ac:dyDescent="0.35">
      <c r="A168" s="11" t="s">
        <v>184</v>
      </c>
      <c r="B168" t="s">
        <v>295</v>
      </c>
      <c r="C168" t="s">
        <v>254</v>
      </c>
      <c r="D168" s="56">
        <v>4</v>
      </c>
      <c r="E168" s="59">
        <f>WORKDAY(F167,1,Holidays)</f>
        <v>46538</v>
      </c>
      <c r="F168" s="59">
        <f>IF(D168=0,E168,WORKDAY(Gantt4567[[#This Row],[Start]],Gantt4567[[#This Row],[Duration (days)]]-1,Holidays))</f>
        <v>46541</v>
      </c>
      <c r="G168" s="57" t="str">
        <f t="shared" ref="G168:G169" si="457">H166</f>
        <v>7.4.1</v>
      </c>
      <c r="H168" s="57" t="str">
        <f t="shared" si="456"/>
        <v>7.4.3</v>
      </c>
      <c r="I168" s="4">
        <f>IF(Gantt4567[[#This Row],[Start]]="","-",NETWORKDAYS(Gantt4567[[#This Row],[Start]],Gantt4567[[#This Row],[End]],Holidays))</f>
        <v>4</v>
      </c>
      <c r="J168" s="69">
        <v>0</v>
      </c>
      <c r="K168" s="4">
        <f>IFERROR(Gantt4567[[#This Row],[End]]-Gantt4567[[#This Row],[Start]],0)</f>
        <v>3</v>
      </c>
      <c r="L168" s="77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6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</row>
    <row r="169" spans="1:455" x14ac:dyDescent="0.35">
      <c r="A169" s="11" t="s">
        <v>185</v>
      </c>
      <c r="B169" t="s">
        <v>296</v>
      </c>
      <c r="C169" t="s">
        <v>254</v>
      </c>
      <c r="D169" s="56">
        <v>2</v>
      </c>
      <c r="E169" s="59">
        <f>WORKDAY(F168,1,Holidays)</f>
        <v>46542</v>
      </c>
      <c r="F169" s="59">
        <f>IF(D169=0,E169,WORKDAY(Gantt4567[[#This Row],[Start]],Gantt4567[[#This Row],[Duration (days)]]-1,Holidays))</f>
        <v>46545</v>
      </c>
      <c r="G169" s="57" t="str">
        <f t="shared" si="457"/>
        <v>7.4.2</v>
      </c>
      <c r="H169" s="57" t="str">
        <f t="shared" si="456"/>
        <v>7.4.4</v>
      </c>
      <c r="I169" s="4">
        <f>IF(Gantt4567[[#This Row],[Start]]="","-",NETWORKDAYS(Gantt4567[[#This Row],[Start]],Gantt4567[[#This Row],[End]],Holidays))</f>
        <v>2</v>
      </c>
      <c r="J169" s="69">
        <v>0</v>
      </c>
      <c r="K169" s="4">
        <f>IFERROR(Gantt4567[[#This Row],[End]]-Gantt4567[[#This Row],[Start]],0)</f>
        <v>3</v>
      </c>
      <c r="L169" s="77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6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</row>
    <row r="170" spans="1:455" x14ac:dyDescent="0.35">
      <c r="A170" s="11" t="s">
        <v>186</v>
      </c>
      <c r="B170" t="s">
        <v>297</v>
      </c>
      <c r="C170" t="s">
        <v>254</v>
      </c>
      <c r="D170" s="56">
        <v>4</v>
      </c>
      <c r="E170" s="59">
        <f>WORKDAY(F169,1,Holidays)</f>
        <v>46546</v>
      </c>
      <c r="F170" s="59">
        <f>IF(D170=0,E170,WORKDAY(Gantt4567[[#This Row],[Start]],Gantt4567[[#This Row],[Duration (days)]]-1,Holidays))</f>
        <v>46549</v>
      </c>
      <c r="G170" s="57" t="str">
        <f>H168</f>
        <v>7.4.3</v>
      </c>
      <c r="H170" s="57" t="str">
        <f t="shared" si="456"/>
        <v>7.4.5</v>
      </c>
      <c r="I170" s="4">
        <f>IF(Gantt4567[[#This Row],[Start]]="","-",NETWORKDAYS(Gantt4567[[#This Row],[Start]],Gantt4567[[#This Row],[End]],Holidays))</f>
        <v>4</v>
      </c>
      <c r="J170" s="69">
        <v>0</v>
      </c>
      <c r="K170" s="4">
        <f>IFERROR(Gantt4567[[#This Row],[End]]-Gantt4567[[#This Row],[Start]],0)</f>
        <v>3</v>
      </c>
      <c r="L170" s="77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6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</row>
    <row r="171" spans="1:455" x14ac:dyDescent="0.35">
      <c r="A171" s="11" t="s">
        <v>187</v>
      </c>
      <c r="B171" t="s">
        <v>298</v>
      </c>
      <c r="C171" t="s">
        <v>254</v>
      </c>
      <c r="D171" s="56">
        <v>6</v>
      </c>
      <c r="E171" s="59">
        <f>WORKDAY(MAX(F158,F170),1,Holidays)</f>
        <v>46553</v>
      </c>
      <c r="F171" s="59">
        <f>IF(D171=0,E171,WORKDAY(Gantt4567[[#This Row],[Start]],Gantt4567[[#This Row],[Duration (days)]]-1,Holidays))</f>
        <v>46560</v>
      </c>
      <c r="G171" s="57" t="str">
        <f>_xlfn.TEXTJOIN(", ",TRUE,A158,H169)</f>
        <v>7.2.6, 7.4.4</v>
      </c>
      <c r="H171" s="57" t="str">
        <f t="shared" si="456"/>
        <v>7.5</v>
      </c>
      <c r="I171" s="4">
        <f>IF(Gantt4567[[#This Row],[Start]]="","-",NETWORKDAYS(Gantt4567[[#This Row],[Start]],Gantt4567[[#This Row],[End]],Holidays))</f>
        <v>6</v>
      </c>
      <c r="J171" s="69">
        <v>0</v>
      </c>
      <c r="K171" s="4">
        <f>IFERROR(Gantt4567[[#This Row],[End]]-Gantt4567[[#This Row],[Start]],0)</f>
        <v>7</v>
      </c>
      <c r="L171" s="77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6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</row>
    <row r="172" spans="1:455" x14ac:dyDescent="0.35">
      <c r="A172" s="9" t="s">
        <v>188</v>
      </c>
      <c r="B172" t="s">
        <v>299</v>
      </c>
      <c r="C172" t="s">
        <v>253</v>
      </c>
      <c r="D172" s="62">
        <v>13</v>
      </c>
      <c r="E172" s="59">
        <f>WORKDAY(F166,1,Holidays)</f>
        <v>46561</v>
      </c>
      <c r="F172" s="59">
        <f>IF(D172=0,E172,WORKDAY(Gantt4567[[#This Row],[Start]],Gantt4567[[#This Row],[Duration (days)]]-1,Holidays))</f>
        <v>46577</v>
      </c>
      <c r="G172" s="57" t="str">
        <f>H170</f>
        <v>7.4.5</v>
      </c>
      <c r="H172" s="57" t="str">
        <f t="shared" si="456"/>
        <v>7.6</v>
      </c>
      <c r="I172" s="4">
        <f>IF(Gantt4567[[#This Row],[Start]]="","-",NETWORKDAYS(Gantt4567[[#This Row],[Start]],Gantt4567[[#This Row],[End]],Holidays))</f>
        <v>13</v>
      </c>
      <c r="J172" s="69">
        <v>0</v>
      </c>
      <c r="K172" s="4">
        <f>IFERROR(Gantt4567[[#This Row],[End]]-Gantt4567[[#This Row],[Start]],0)</f>
        <v>16</v>
      </c>
      <c r="L172" s="77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4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4"/>
      <c r="PG172" s="4"/>
      <c r="PH172" s="4"/>
      <c r="PI172" s="4"/>
      <c r="PJ172" s="4"/>
      <c r="PK172" s="4"/>
      <c r="PL172" s="4"/>
      <c r="PM172" s="4"/>
      <c r="PN172" s="4"/>
      <c r="PO172" s="46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4"/>
      <c r="QL172" s="4"/>
      <c r="QM172" s="4"/>
    </row>
    <row r="173" spans="1:455" x14ac:dyDescent="0.35">
      <c r="A173" s="15" t="s">
        <v>189</v>
      </c>
      <c r="B173" t="s">
        <v>300</v>
      </c>
      <c r="C173" t="s">
        <v>253</v>
      </c>
      <c r="D173" s="62">
        <v>5</v>
      </c>
      <c r="E173" s="59">
        <f>WORKDAY(F172,1,Holidays)</f>
        <v>46580</v>
      </c>
      <c r="F173" s="59">
        <f>IF(D173=0,E173,WORKDAY(Gantt4567[[#This Row],[Start]],Gantt4567[[#This Row],[Duration (days)]]-1,Holidays))</f>
        <v>46584</v>
      </c>
      <c r="G173" s="57" t="str">
        <f>H171</f>
        <v>7.5</v>
      </c>
      <c r="H173" s="57" t="str">
        <f t="shared" si="456"/>
        <v>7.7</v>
      </c>
      <c r="I173" s="4">
        <f>IF(Gantt4567[[#This Row],[Start]]="","-",NETWORKDAYS(Gantt4567[[#This Row],[Start]],Gantt4567[[#This Row],[End]],Holidays))</f>
        <v>5</v>
      </c>
      <c r="J173" s="69">
        <v>0</v>
      </c>
      <c r="K173" s="4">
        <f>IFERROR(Gantt4567[[#This Row],[End]]-Gantt4567[[#This Row],[Start]],0)</f>
        <v>4</v>
      </c>
      <c r="L173" s="77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4"/>
      <c r="OG173" s="4"/>
      <c r="OH173" s="4"/>
      <c r="OI173" s="4"/>
      <c r="OJ173" s="4"/>
      <c r="OK173" s="4"/>
      <c r="OL173" s="4"/>
      <c r="OM173" s="4"/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4"/>
      <c r="PG173" s="4"/>
      <c r="PH173" s="4"/>
      <c r="PI173" s="4"/>
      <c r="PJ173" s="4"/>
      <c r="PK173" s="4"/>
      <c r="PL173" s="4"/>
      <c r="PM173" s="4"/>
      <c r="PN173" s="4"/>
      <c r="PO173" s="46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4"/>
      <c r="QL173" s="4"/>
      <c r="QM173" s="4"/>
    </row>
    <row r="174" spans="1:455" x14ac:dyDescent="0.35">
      <c r="A174" s="41" t="s">
        <v>190</v>
      </c>
      <c r="B174" s="38" t="s">
        <v>414</v>
      </c>
      <c r="C174" s="38" t="s">
        <v>257</v>
      </c>
      <c r="D174" s="56">
        <v>0</v>
      </c>
      <c r="E174" s="59">
        <f>F173</f>
        <v>46584</v>
      </c>
      <c r="F174" s="59">
        <f>IF(D174=0,E174,WORKDAY(Gantt4567[[#This Row],[Start]],Gantt4567[[#This Row],[Duration (days)]]-1,Holidays))</f>
        <v>46584</v>
      </c>
      <c r="G174" s="57" t="str">
        <f t="shared" ref="G174:G175" si="458">H172</f>
        <v>7.6</v>
      </c>
      <c r="H174" s="57" t="str">
        <f t="shared" si="456"/>
        <v>8.0 </v>
      </c>
      <c r="I174" s="4">
        <v>0</v>
      </c>
      <c r="J174" s="69">
        <v>0</v>
      </c>
      <c r="K174" s="4">
        <f>IFERROR(Gantt4567[[#This Row],[End]]-Gantt4567[[#This Row],[Start]],0)</f>
        <v>0</v>
      </c>
      <c r="L174" s="77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4"/>
      <c r="NU174" s="4"/>
      <c r="NV174" s="4"/>
      <c r="NW174" s="4"/>
      <c r="NX174" s="4"/>
      <c r="NY174" s="4"/>
      <c r="NZ174" s="4"/>
      <c r="OA174" s="4"/>
      <c r="OB174" s="4"/>
      <c r="OC174" s="4"/>
      <c r="OD174" s="4"/>
      <c r="OE174" s="4"/>
      <c r="OF174" s="4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4"/>
      <c r="PG174" s="4"/>
      <c r="PH174" s="4"/>
      <c r="PI174" s="4"/>
      <c r="PJ174" s="4"/>
      <c r="PK174" s="4"/>
      <c r="PL174" s="4"/>
      <c r="PM174" s="4"/>
      <c r="PN174" s="4"/>
      <c r="PO174" s="46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4"/>
      <c r="QL174" s="4"/>
      <c r="QM174" s="4"/>
    </row>
    <row r="175" spans="1:455" x14ac:dyDescent="0.35">
      <c r="A175" s="6" t="s">
        <v>191</v>
      </c>
      <c r="B175" s="5" t="s">
        <v>270</v>
      </c>
      <c r="C175" s="5" t="s">
        <v>255</v>
      </c>
      <c r="D175" s="61">
        <f>D176+D178+D182</f>
        <v>24</v>
      </c>
      <c r="E175" s="58">
        <f>WORKDAY(F145,1,Holidays)</f>
        <v>46587</v>
      </c>
      <c r="F175" s="58">
        <f>F183</f>
        <v>46618</v>
      </c>
      <c r="G175" s="57" t="str">
        <f t="shared" si="458"/>
        <v>7.7</v>
      </c>
      <c r="H175" s="57" t="str">
        <f t="shared" si="456"/>
        <v>8.1 </v>
      </c>
      <c r="I175" s="4">
        <f>IF(Gantt4567[[#This Row],[Start]]="","-",NETWORKDAYS(Gantt4567[[#This Row],[Start]],Gantt4567[[#This Row],[End]],Holidays))</f>
        <v>24</v>
      </c>
      <c r="J175" s="69">
        <v>0</v>
      </c>
      <c r="K175" s="4">
        <f>IFERROR(Gantt4567[[#This Row],[End]]-Gantt4567[[#This Row],[Start]],0)</f>
        <v>31</v>
      </c>
      <c r="L175" s="77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6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</row>
    <row r="176" spans="1:455" x14ac:dyDescent="0.35">
      <c r="A176" s="9" t="s">
        <v>192</v>
      </c>
      <c r="B176" t="s">
        <v>271</v>
      </c>
      <c r="C176" t="s">
        <v>253</v>
      </c>
      <c r="D176" s="29">
        <f>D177</f>
        <v>7</v>
      </c>
      <c r="E176" s="59">
        <f>E175</f>
        <v>46587</v>
      </c>
      <c r="F176" s="59">
        <f>IF(D176=0,E176,WORKDAY(Gantt4567[[#This Row],[Start]],Gantt4567[[#This Row],[Duration (days)]]-1,Holidays))</f>
        <v>46595</v>
      </c>
      <c r="G176" s="57" t="str">
        <f>H174</f>
        <v>8.0 </v>
      </c>
      <c r="H176" s="57" t="str">
        <f t="shared" si="456"/>
        <v>8.1.1</v>
      </c>
      <c r="I176" s="4">
        <f>IF(Gantt4567[[#This Row],[Start]]="","-",NETWORKDAYS(Gantt4567[[#This Row],[Start]],Gantt4567[[#This Row],[End]],Holidays))</f>
        <v>7</v>
      </c>
      <c r="J176" s="69">
        <v>0</v>
      </c>
      <c r="K176" s="4">
        <f>IFERROR(Gantt4567[[#This Row],[End]]-Gantt4567[[#This Row],[Start]],0)</f>
        <v>8</v>
      </c>
      <c r="L176" s="77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4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4"/>
      <c r="PG176" s="4"/>
      <c r="PH176" s="4"/>
      <c r="PI176" s="4"/>
      <c r="PJ176" s="4"/>
      <c r="PK176" s="4"/>
      <c r="PL176" s="4"/>
      <c r="PM176" s="4"/>
      <c r="PN176" s="4"/>
      <c r="PO176" s="46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4"/>
      <c r="QL176" s="4"/>
      <c r="QM176" s="4"/>
    </row>
    <row r="177" spans="1:455" x14ac:dyDescent="0.35">
      <c r="A177" s="11" t="s">
        <v>193</v>
      </c>
      <c r="B177" t="s">
        <v>272</v>
      </c>
      <c r="C177" t="s">
        <v>254</v>
      </c>
      <c r="D177" s="56">
        <v>7</v>
      </c>
      <c r="E177" s="59">
        <f>E176</f>
        <v>46587</v>
      </c>
      <c r="F177" s="59">
        <f>IF(D177=0,E177,WORKDAY(Gantt4567[[#This Row],[Start]],Gantt4567[[#This Row],[Duration (days)]]-1,Holidays))</f>
        <v>46595</v>
      </c>
      <c r="G177" s="57" t="str">
        <f>H175</f>
        <v>8.1 </v>
      </c>
      <c r="H177" s="57" t="str">
        <f>_xlfn.TEXTJOIN(", ",TRUE,A178,A185)</f>
        <v>8.2 , 9.1 </v>
      </c>
      <c r="I177" s="28">
        <f>IF(Gantt4567[[#This Row],[Start]]="","-",NETWORKDAYS(Gantt4567[[#This Row],[Start]],Gantt4567[[#This Row],[End]],Holidays))</f>
        <v>7</v>
      </c>
      <c r="J177" s="69">
        <v>0</v>
      </c>
      <c r="K177" s="28">
        <f>IFERROR(Gantt4567[[#This Row],[End]]-Gantt4567[[#This Row],[Start]],0)</f>
        <v>8</v>
      </c>
      <c r="L177" s="77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6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</row>
    <row r="178" spans="1:455" x14ac:dyDescent="0.35">
      <c r="A178" s="9" t="s">
        <v>194</v>
      </c>
      <c r="B178" t="s">
        <v>273</v>
      </c>
      <c r="C178" t="s">
        <v>253</v>
      </c>
      <c r="D178" s="29">
        <f>SUM(D179:D181)</f>
        <v>15</v>
      </c>
      <c r="E178" s="59">
        <f>WORKDAY(F176,1,Holidays)</f>
        <v>46596</v>
      </c>
      <c r="F178" s="59">
        <f>IF(D178=0,E178,WORKDAY(Gantt4567[[#This Row],[Start]],Gantt4567[[#This Row],[Duration (days)]]-1,Holidays))</f>
        <v>46616</v>
      </c>
      <c r="G178" s="57" t="str">
        <f>H176</f>
        <v>8.1.1</v>
      </c>
      <c r="H178" s="57" t="str">
        <f t="shared" ref="H178:H183" si="459">A179</f>
        <v>8.2.1</v>
      </c>
      <c r="I178" s="4">
        <f>IF(Gantt4567[[#This Row],[Start]]="","-",NETWORKDAYS(Gantt4567[[#This Row],[Start]],Gantt4567[[#This Row],[End]],Holidays))</f>
        <v>15</v>
      </c>
      <c r="J178" s="69">
        <v>0</v>
      </c>
      <c r="K178" s="4">
        <f>IFERROR(Gantt4567[[#This Row],[End]]-Gantt4567[[#This Row],[Start]],0)</f>
        <v>20</v>
      </c>
      <c r="L178" s="77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/>
      <c r="OF178" s="4"/>
      <c r="OG178" s="4"/>
      <c r="OH178" s="4"/>
      <c r="OI178" s="4"/>
      <c r="OJ178" s="4"/>
      <c r="OK178" s="4"/>
      <c r="OL178" s="4"/>
      <c r="OM178" s="4"/>
      <c r="ON178" s="4"/>
      <c r="OO178" s="4"/>
      <c r="OP178" s="4"/>
      <c r="OQ178" s="4"/>
      <c r="OR178" s="4"/>
      <c r="OS178" s="4"/>
      <c r="OT178" s="4"/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4"/>
      <c r="PG178" s="4"/>
      <c r="PH178" s="4"/>
      <c r="PI178" s="4"/>
      <c r="PJ178" s="4"/>
      <c r="PK178" s="4"/>
      <c r="PL178" s="4"/>
      <c r="PM178" s="4"/>
      <c r="PN178" s="4"/>
      <c r="PO178" s="46"/>
      <c r="PP178" s="4"/>
      <c r="PQ178" s="4"/>
      <c r="PR178" s="4"/>
      <c r="PS178" s="4"/>
      <c r="PT178" s="4"/>
      <c r="PU178" s="4"/>
      <c r="PV178" s="4"/>
      <c r="PW178" s="4"/>
      <c r="PX178" s="4"/>
      <c r="PY178" s="4"/>
      <c r="PZ178" s="4"/>
      <c r="QA178" s="4"/>
      <c r="QB178" s="4"/>
      <c r="QC178" s="4"/>
      <c r="QD178" s="4"/>
      <c r="QE178" s="4"/>
      <c r="QF178" s="4"/>
      <c r="QG178" s="4"/>
      <c r="QH178" s="4"/>
      <c r="QI178" s="4"/>
      <c r="QJ178" s="4"/>
      <c r="QK178" s="4"/>
      <c r="QL178" s="4"/>
      <c r="QM178" s="4"/>
    </row>
    <row r="179" spans="1:455" x14ac:dyDescent="0.35">
      <c r="A179" s="11" t="s">
        <v>195</v>
      </c>
      <c r="B179" t="s">
        <v>274</v>
      </c>
      <c r="C179" t="s">
        <v>254</v>
      </c>
      <c r="D179" s="56">
        <v>4</v>
      </c>
      <c r="E179" s="59">
        <f>E178</f>
        <v>46596</v>
      </c>
      <c r="F179" s="59">
        <f>IF(D179=0,E179,WORKDAY(Gantt4567[[#This Row],[Start]],Gantt4567[[#This Row],[Duration (days)]]-1,Holidays))</f>
        <v>46601</v>
      </c>
      <c r="G179" s="57" t="str">
        <f>A178</f>
        <v>8.2 </v>
      </c>
      <c r="H179" s="57" t="str">
        <f t="shared" si="459"/>
        <v>8.2.2</v>
      </c>
      <c r="I179" s="4">
        <f>IF(Gantt4567[[#This Row],[Start]]="","-",NETWORKDAYS(Gantt4567[[#This Row],[Start]],Gantt4567[[#This Row],[End]],Holidays))</f>
        <v>4</v>
      </c>
      <c r="J179" s="69">
        <v>0</v>
      </c>
      <c r="K179" s="4">
        <f>IFERROR(Gantt4567[[#This Row],[End]]-Gantt4567[[#This Row],[Start]],0)</f>
        <v>5</v>
      </c>
      <c r="L179" s="77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6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</row>
    <row r="180" spans="1:455" x14ac:dyDescent="0.35">
      <c r="A180" s="11" t="s">
        <v>196</v>
      </c>
      <c r="B180" t="s">
        <v>275</v>
      </c>
      <c r="C180" t="s">
        <v>254</v>
      </c>
      <c r="D180" s="56">
        <v>8</v>
      </c>
      <c r="E180" s="59">
        <f>WORKDAY(F179,1,Holidays)</f>
        <v>46602</v>
      </c>
      <c r="F180" s="59">
        <f>IF(D180=0,E180,WORKDAY(Gantt4567[[#This Row],[Start]],Gantt4567[[#This Row],[Duration (days)]]-1,Holidays))</f>
        <v>46611</v>
      </c>
      <c r="G180" s="57" t="str">
        <f>H178</f>
        <v>8.2.1</v>
      </c>
      <c r="H180" s="57" t="str">
        <f t="shared" si="459"/>
        <v>8.2.3</v>
      </c>
      <c r="I180" s="4">
        <f>IF(Gantt4567[[#This Row],[Start]]="","-",NETWORKDAYS(Gantt4567[[#This Row],[Start]],Gantt4567[[#This Row],[End]],Holidays))</f>
        <v>8</v>
      </c>
      <c r="J180" s="69">
        <v>0</v>
      </c>
      <c r="K180" s="4">
        <f>IFERROR(Gantt4567[[#This Row],[End]]-Gantt4567[[#This Row],[Start]],0)</f>
        <v>9</v>
      </c>
      <c r="L180" s="77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4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6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4"/>
      <c r="QL180" s="4"/>
      <c r="QM180" s="4"/>
    </row>
    <row r="181" spans="1:455" x14ac:dyDescent="0.35">
      <c r="A181" s="11" t="s">
        <v>197</v>
      </c>
      <c r="B181" t="s">
        <v>276</v>
      </c>
      <c r="C181" t="s">
        <v>254</v>
      </c>
      <c r="D181" s="56">
        <v>3</v>
      </c>
      <c r="E181" s="59">
        <f>WORKDAY(F180,1,Holidays)</f>
        <v>46612</v>
      </c>
      <c r="F181" s="59">
        <f>IF(D181=0,E181,WORKDAY(Gantt4567[[#This Row],[Start]],Gantt4567[[#This Row],[Duration (days)]]-1,Holidays))</f>
        <v>46616</v>
      </c>
      <c r="G181" s="57" t="str">
        <f>H179</f>
        <v>8.2.2</v>
      </c>
      <c r="H181" s="57" t="str">
        <f t="shared" si="459"/>
        <v>8.3</v>
      </c>
      <c r="I181" s="4">
        <f>IF(Gantt4567[[#This Row],[Start]]="","-",NETWORKDAYS(Gantt4567[[#This Row],[Start]],Gantt4567[[#This Row],[End]],Holidays))</f>
        <v>3</v>
      </c>
      <c r="J181" s="69">
        <v>0</v>
      </c>
      <c r="K181" s="4">
        <f>IFERROR(Gantt4567[[#This Row],[End]]-Gantt4567[[#This Row],[Start]],0)</f>
        <v>4</v>
      </c>
      <c r="L181" s="77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6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</row>
    <row r="182" spans="1:455" x14ac:dyDescent="0.35">
      <c r="A182" s="9" t="s">
        <v>198</v>
      </c>
      <c r="B182" t="s">
        <v>277</v>
      </c>
      <c r="C182" t="s">
        <v>253</v>
      </c>
      <c r="D182" s="62">
        <v>2</v>
      </c>
      <c r="E182" s="59">
        <f>WORKDAY(F178,1,Holidays)</f>
        <v>46617</v>
      </c>
      <c r="F182" s="59">
        <f>IF(D182=0,E182,WORKDAY(Gantt4567[[#This Row],[Start]],Gantt4567[[#This Row],[Duration (days)]]-1,Holidays))</f>
        <v>46618</v>
      </c>
      <c r="G182" s="57" t="str">
        <f>H180</f>
        <v>8.2.3</v>
      </c>
      <c r="H182" s="57" t="str">
        <f t="shared" si="459"/>
        <v>8.4</v>
      </c>
      <c r="I182" s="4">
        <f>IF(Gantt4567[[#This Row],[Start]]="","-",NETWORKDAYS(Gantt4567[[#This Row],[Start]],Gantt4567[[#This Row],[End]],Holidays))</f>
        <v>2</v>
      </c>
      <c r="J182" s="69">
        <v>0</v>
      </c>
      <c r="K182" s="4">
        <f>IFERROR(Gantt4567[[#This Row],[End]]-Gantt4567[[#This Row],[Start]],0)</f>
        <v>1</v>
      </c>
      <c r="L182" s="77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4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6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4"/>
      <c r="QL182" s="4"/>
      <c r="QM182" s="4"/>
    </row>
    <row r="183" spans="1:455" x14ac:dyDescent="0.35">
      <c r="A183" s="41" t="s">
        <v>199</v>
      </c>
      <c r="B183" s="38" t="s">
        <v>415</v>
      </c>
      <c r="C183" s="38" t="s">
        <v>257</v>
      </c>
      <c r="D183" s="56">
        <v>0</v>
      </c>
      <c r="E183" s="59">
        <f>F182</f>
        <v>46618</v>
      </c>
      <c r="F183" s="59">
        <f>IF(D183=0,E183,WORKDAY(Gantt4567[[#This Row],[Start]],Gantt4567[[#This Row],[Duration (days)]]-1,Holidays))</f>
        <v>46618</v>
      </c>
      <c r="G183" s="57" t="str">
        <f>H181</f>
        <v>8.3</v>
      </c>
      <c r="H183" s="57" t="str">
        <f t="shared" si="459"/>
        <v>9.0 </v>
      </c>
      <c r="I183" s="4">
        <v>0</v>
      </c>
      <c r="J183" s="69">
        <v>0</v>
      </c>
      <c r="K183" s="4">
        <f>IFERROR(Gantt4567[[#This Row],[End]]-Gantt4567[[#This Row],[Start]],0)</f>
        <v>0</v>
      </c>
      <c r="L183" s="77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4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6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4"/>
      <c r="QL183" s="4"/>
      <c r="QM183" s="4"/>
    </row>
    <row r="184" spans="1:455" x14ac:dyDescent="0.35">
      <c r="A184" s="6" t="s">
        <v>200</v>
      </c>
      <c r="B184" s="5" t="s">
        <v>260</v>
      </c>
      <c r="C184" s="5" t="s">
        <v>255</v>
      </c>
      <c r="D184" s="61">
        <f>MAX(D185+D195,D190)</f>
        <v>35</v>
      </c>
      <c r="E184" s="58">
        <f>WORKDAY(F175,1,Holidays)</f>
        <v>46619</v>
      </c>
      <c r="F184" s="58">
        <f>F200</f>
        <v>46668</v>
      </c>
      <c r="G184" s="57" t="str">
        <f>H182</f>
        <v>8.4</v>
      </c>
      <c r="H184" s="57" t="str">
        <f>_xlfn.TEXTJOIN(", ",TRUE,A185,A195)</f>
        <v>9.1 , 9.3 </v>
      </c>
      <c r="I184" s="4">
        <f>IF(Gantt4567[[#This Row],[Start]]="","-",NETWORKDAYS(Gantt4567[[#This Row],[Start]],Gantt4567[[#This Row],[End]],Holidays))</f>
        <v>35</v>
      </c>
      <c r="J184" s="69">
        <v>0</v>
      </c>
      <c r="K184" s="4">
        <f>IFERROR(Gantt4567[[#This Row],[End]]-Gantt4567[[#This Row],[Start]],0)</f>
        <v>49</v>
      </c>
      <c r="L184" s="77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/>
      <c r="NV184" s="4"/>
      <c r="NW184" s="4"/>
      <c r="NX184" s="4"/>
      <c r="NY184" s="4"/>
      <c r="NZ184" s="4"/>
      <c r="OA184" s="4"/>
      <c r="OB184" s="4"/>
      <c r="OC184" s="4"/>
      <c r="OD184" s="4"/>
      <c r="OE184" s="4"/>
      <c r="OF184" s="4"/>
      <c r="OG184" s="4"/>
      <c r="OH184" s="4"/>
      <c r="OI184" s="4"/>
      <c r="OJ184" s="4"/>
      <c r="OK184" s="4"/>
      <c r="OL184" s="4"/>
      <c r="OM184" s="4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/>
      <c r="PM184" s="4"/>
      <c r="PN184" s="4"/>
      <c r="PO184" s="46"/>
      <c r="PP184" s="4"/>
      <c r="PQ184" s="4"/>
      <c r="PR184" s="4"/>
      <c r="PS184" s="4"/>
      <c r="PT184" s="4"/>
      <c r="PU184" s="4"/>
      <c r="PV184" s="4"/>
      <c r="PW184" s="4"/>
      <c r="PX184" s="4"/>
      <c r="PY184" s="4"/>
      <c r="PZ184" s="4"/>
      <c r="QA184" s="4"/>
      <c r="QB184" s="4"/>
      <c r="QC184" s="4"/>
      <c r="QD184" s="4"/>
      <c r="QE184" s="4"/>
      <c r="QF184" s="4"/>
      <c r="QG184" s="4"/>
      <c r="QH184" s="4"/>
      <c r="QI184" s="4"/>
      <c r="QJ184" s="4"/>
      <c r="QK184" s="4"/>
      <c r="QL184" s="4"/>
      <c r="QM184" s="4"/>
    </row>
    <row r="185" spans="1:455" x14ac:dyDescent="0.35">
      <c r="A185" s="9" t="s">
        <v>201</v>
      </c>
      <c r="B185" t="s">
        <v>261</v>
      </c>
      <c r="C185" t="s">
        <v>253</v>
      </c>
      <c r="D185" s="29">
        <f>D186+MAX(D187:D188)+D189</f>
        <v>15</v>
      </c>
      <c r="E185" s="59">
        <f>MAX(F177,E184)</f>
        <v>46619</v>
      </c>
      <c r="F185" s="59">
        <f>IF(D185=0,E185,WORKDAY(Gantt4567[[#This Row],[Start]],Gantt4567[[#This Row],[Duration (days)]]-1,Holidays))</f>
        <v>46639</v>
      </c>
      <c r="G185" s="57" t="str">
        <f>_xlfn.TEXTJOIN(", ",TRUE,A177,H183)</f>
        <v>8.1.1, 9.0 </v>
      </c>
      <c r="H185" s="57" t="str">
        <f>A186</f>
        <v>9.1.1</v>
      </c>
      <c r="I185" s="4">
        <f>IF(Gantt4567[[#This Row],[Start]]="","-",NETWORKDAYS(Gantt4567[[#This Row],[Start]],Gantt4567[[#This Row],[End]],Holidays))</f>
        <v>15</v>
      </c>
      <c r="J185" s="69">
        <v>0</v>
      </c>
      <c r="K185" s="4">
        <f>IFERROR(Gantt4567[[#This Row],[End]]-Gantt4567[[#This Row],[Start]],0)</f>
        <v>20</v>
      </c>
      <c r="L185" s="77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6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</row>
    <row r="186" spans="1:455" x14ac:dyDescent="0.35">
      <c r="A186" s="16" t="s">
        <v>202</v>
      </c>
      <c r="B186" t="s">
        <v>262</v>
      </c>
      <c r="C186" t="s">
        <v>254</v>
      </c>
      <c r="D186" s="56">
        <v>6</v>
      </c>
      <c r="E186" s="59">
        <f>E185</f>
        <v>46619</v>
      </c>
      <c r="F186" s="59">
        <f>IF(D186=0,E186,WORKDAY(Gantt4567[[#This Row],[Start]],Gantt4567[[#This Row],[Duration (days)]]-1,Holidays))</f>
        <v>46626</v>
      </c>
      <c r="G186" s="57" t="str">
        <f>A185</f>
        <v>9.1 </v>
      </c>
      <c r="H186" s="57" t="str">
        <f>_xlfn.TEXTJOIN(", ",TRUE,A187:A188)</f>
        <v>9.1.2, 9.1.3</v>
      </c>
      <c r="I186" s="4">
        <f>IF(Gantt4567[[#This Row],[Start]]="","-",NETWORKDAYS(Gantt4567[[#This Row],[Start]],Gantt4567[[#This Row],[End]],Holidays))</f>
        <v>6</v>
      </c>
      <c r="J186" s="69">
        <v>0</v>
      </c>
      <c r="K186" s="4">
        <f>IFERROR(Gantt4567[[#This Row],[End]]-Gantt4567[[#This Row],[Start]],0)</f>
        <v>7</v>
      </c>
      <c r="L186" s="77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6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</row>
    <row r="187" spans="1:455" x14ac:dyDescent="0.35">
      <c r="A187" s="24" t="s">
        <v>203</v>
      </c>
      <c r="B187" t="s">
        <v>245</v>
      </c>
      <c r="C187" t="s">
        <v>254</v>
      </c>
      <c r="D187" s="56">
        <v>4</v>
      </c>
      <c r="E187" s="59">
        <f>WORKDAY(F186,1,Holidays)</f>
        <v>46629</v>
      </c>
      <c r="F187" s="59">
        <f>IF(D187=0,E187,WORKDAY(Gantt4567[[#This Row],[Start]],Gantt4567[[#This Row],[Duration (days)]]-1,Holidays))</f>
        <v>46632</v>
      </c>
      <c r="G187" s="57" t="str">
        <f>H185</f>
        <v>9.1.1</v>
      </c>
      <c r="H187" s="57" t="str">
        <f>A189</f>
        <v>9.1.4</v>
      </c>
      <c r="I187" s="4">
        <f>IF(Gantt4567[[#This Row],[Start]]="","-",NETWORKDAYS(Gantt4567[[#This Row],[Start]],Gantt4567[[#This Row],[End]],Holidays))</f>
        <v>4</v>
      </c>
      <c r="J187" s="69">
        <v>0</v>
      </c>
      <c r="K187" s="4">
        <f>IFERROR(Gantt4567[[#This Row],[End]]-Gantt4567[[#This Row],[Start]],0)</f>
        <v>3</v>
      </c>
      <c r="L187" s="77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6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</row>
    <row r="188" spans="1:455" x14ac:dyDescent="0.35">
      <c r="A188" s="24" t="s">
        <v>204</v>
      </c>
      <c r="B188" t="s">
        <v>246</v>
      </c>
      <c r="C188" t="s">
        <v>254</v>
      </c>
      <c r="D188" s="56">
        <v>4</v>
      </c>
      <c r="E188" s="59">
        <f>WORKDAY(F186,1,Holidays)</f>
        <v>46629</v>
      </c>
      <c r="F188" s="59">
        <f>IF(D188=0,E188,WORKDAY(Gantt4567[[#This Row],[Start]],Gantt4567[[#This Row],[Duration (days)]]-1,Holidays))</f>
        <v>46632</v>
      </c>
      <c r="G188" s="57" t="str">
        <f>H185</f>
        <v>9.1.1</v>
      </c>
      <c r="H188" s="57" t="str">
        <f>A189</f>
        <v>9.1.4</v>
      </c>
      <c r="I188" s="4">
        <f>IF(Gantt4567[[#This Row],[Start]]="","-",NETWORKDAYS(Gantt4567[[#This Row],[Start]],Gantt4567[[#This Row],[End]],Holidays))</f>
        <v>4</v>
      </c>
      <c r="J188" s="69">
        <v>0</v>
      </c>
      <c r="K188" s="4">
        <f>IFERROR(Gantt4567[[#This Row],[End]]-Gantt4567[[#This Row],[Start]],0)</f>
        <v>3</v>
      </c>
      <c r="L188" s="77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6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</row>
    <row r="189" spans="1:455" x14ac:dyDescent="0.35">
      <c r="A189" s="11" t="s">
        <v>205</v>
      </c>
      <c r="B189" t="s">
        <v>263</v>
      </c>
      <c r="C189" t="s">
        <v>254</v>
      </c>
      <c r="D189" s="56">
        <v>5</v>
      </c>
      <c r="E189" s="59">
        <f>WORKDAY(MAX(F187:F188),1,Holidays)</f>
        <v>46633</v>
      </c>
      <c r="F189" s="59">
        <f>IF(D189=0,E189,WORKDAY(Gantt4567[[#This Row],[Start]],Gantt4567[[#This Row],[Duration (days)]]-1,Holidays))</f>
        <v>46639</v>
      </c>
      <c r="G189" s="57" t="str">
        <f>H186</f>
        <v>9.1.2, 9.1.3</v>
      </c>
      <c r="H189" s="57" t="str">
        <f>A190</f>
        <v>9.2 </v>
      </c>
      <c r="I189" s="4">
        <f>IF(Gantt4567[[#This Row],[Start]]="","-",NETWORKDAYS(Gantt4567[[#This Row],[Start]],Gantt4567[[#This Row],[End]],Holidays))</f>
        <v>5</v>
      </c>
      <c r="J189" s="69">
        <v>0</v>
      </c>
      <c r="K189" s="4">
        <f>IFERROR(Gantt4567[[#This Row],[End]]-Gantt4567[[#This Row],[Start]],0)</f>
        <v>6</v>
      </c>
      <c r="L189" s="77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6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4"/>
      <c r="QL189" s="4"/>
      <c r="QM189" s="4"/>
    </row>
    <row r="190" spans="1:455" x14ac:dyDescent="0.35">
      <c r="A190" s="9" t="s">
        <v>206</v>
      </c>
      <c r="B190" t="s">
        <v>264</v>
      </c>
      <c r="C190" t="s">
        <v>253</v>
      </c>
      <c r="D190" s="29">
        <f>MAX(D191:D192)+D193+D194</f>
        <v>20</v>
      </c>
      <c r="E190" s="59">
        <f>WORKDAY(F185,1,Holidays)</f>
        <v>46640</v>
      </c>
      <c r="F190" s="59">
        <f>IF(D190=0,E190,WORKDAY(Gantt4567[[#This Row],[Start]],Gantt4567[[#This Row],[Duration (days)]]-1,Holidays))</f>
        <v>46668</v>
      </c>
      <c r="G190" s="57" t="str">
        <f>H187</f>
        <v>9.1.4</v>
      </c>
      <c r="H190" s="57" t="str">
        <f>_xlfn.TEXTJOIN(", ",TRUE,A191:A192)</f>
        <v>9.2.1, 9.2.2</v>
      </c>
      <c r="I190" s="4">
        <f>IF(Gantt4567[[#This Row],[Start]]="","-",NETWORKDAYS(Gantt4567[[#This Row],[Start]],Gantt4567[[#This Row],[End]],Holidays))</f>
        <v>20</v>
      </c>
      <c r="J190" s="69">
        <v>0</v>
      </c>
      <c r="K190" s="4">
        <f>IFERROR(Gantt4567[[#This Row],[End]]-Gantt4567[[#This Row],[Start]],0)</f>
        <v>28</v>
      </c>
      <c r="L190" s="77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6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</row>
    <row r="191" spans="1:455" x14ac:dyDescent="0.35">
      <c r="A191" s="24" t="s">
        <v>207</v>
      </c>
      <c r="B191" t="s">
        <v>247</v>
      </c>
      <c r="C191" t="s">
        <v>254</v>
      </c>
      <c r="D191" s="56">
        <v>10</v>
      </c>
      <c r="E191" s="59">
        <f>E190</f>
        <v>46640</v>
      </c>
      <c r="F191" s="59">
        <f>IF(D191=0,E191,WORKDAY(Gantt4567[[#This Row],[Start]],Gantt4567[[#This Row],[Duration (days)]]-1,Holidays))</f>
        <v>46653</v>
      </c>
      <c r="G191" s="57" t="str">
        <f>H189</f>
        <v>9.2 </v>
      </c>
      <c r="H191" s="57" t="str">
        <f>A193</f>
        <v>9.2.3</v>
      </c>
      <c r="I191" s="4">
        <f>IF(Gantt4567[[#This Row],[Start]]="","-",NETWORKDAYS(Gantt4567[[#This Row],[Start]],Gantt4567[[#This Row],[End]],Holidays))</f>
        <v>10</v>
      </c>
      <c r="J191" s="69">
        <v>0</v>
      </c>
      <c r="K191" s="4">
        <f>IFERROR(Gantt4567[[#This Row],[End]]-Gantt4567[[#This Row],[Start]],0)</f>
        <v>13</v>
      </c>
      <c r="L191" s="77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4"/>
      <c r="NU191" s="4"/>
      <c r="NV191" s="4"/>
      <c r="NW191" s="4"/>
      <c r="NX191" s="4"/>
      <c r="NY191" s="4"/>
      <c r="NZ191" s="4"/>
      <c r="OA191" s="4"/>
      <c r="OB191" s="4"/>
      <c r="OC191" s="4"/>
      <c r="OD191" s="4"/>
      <c r="OE191" s="4"/>
      <c r="OF191" s="4"/>
      <c r="OG191" s="4"/>
      <c r="OH191" s="4"/>
      <c r="OI191" s="4"/>
      <c r="OJ191" s="4"/>
      <c r="OK191" s="4"/>
      <c r="OL191" s="4"/>
      <c r="OM191" s="4"/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6"/>
      <c r="PP191" s="4"/>
      <c r="PQ191" s="4"/>
      <c r="PR191" s="4"/>
      <c r="PS191" s="4"/>
      <c r="PT191" s="4"/>
      <c r="PU191" s="4"/>
      <c r="PV191" s="4"/>
      <c r="PW191" s="4"/>
      <c r="PX191" s="4"/>
      <c r="PY191" s="4"/>
      <c r="PZ191" s="4"/>
      <c r="QA191" s="4"/>
      <c r="QB191" s="4"/>
      <c r="QC191" s="4"/>
      <c r="QD191" s="4"/>
      <c r="QE191" s="4"/>
      <c r="QF191" s="4"/>
      <c r="QG191" s="4"/>
      <c r="QH191" s="4"/>
      <c r="QI191" s="4"/>
      <c r="QJ191" s="4"/>
      <c r="QK191" s="4"/>
      <c r="QL191" s="4"/>
      <c r="QM191" s="4"/>
    </row>
    <row r="192" spans="1:455" x14ac:dyDescent="0.35">
      <c r="A192" s="24" t="s">
        <v>208</v>
      </c>
      <c r="B192" t="s">
        <v>248</v>
      </c>
      <c r="C192" t="s">
        <v>254</v>
      </c>
      <c r="D192" s="56">
        <v>10</v>
      </c>
      <c r="E192" s="59">
        <f>E190</f>
        <v>46640</v>
      </c>
      <c r="F192" s="59">
        <f>IF(D192=0,E192,WORKDAY(Gantt4567[[#This Row],[Start]],Gantt4567[[#This Row],[Duration (days)]]-1,Holidays))</f>
        <v>46653</v>
      </c>
      <c r="G192" s="57" t="str">
        <f>H189</f>
        <v>9.2 </v>
      </c>
      <c r="H192" s="57" t="str">
        <f>A193</f>
        <v>9.2.3</v>
      </c>
      <c r="I192" s="4">
        <f>IF(Gantt4567[[#This Row],[Start]]="","-",NETWORKDAYS(Gantt4567[[#This Row],[Start]],Gantt4567[[#This Row],[End]],Holidays))</f>
        <v>10</v>
      </c>
      <c r="J192" s="69">
        <v>0</v>
      </c>
      <c r="K192" s="4">
        <f>IFERROR(Gantt4567[[#This Row],[End]]-Gantt4567[[#This Row],[Start]],0)</f>
        <v>13</v>
      </c>
      <c r="L192" s="77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6"/>
      <c r="PP192" s="4"/>
      <c r="PQ192" s="4"/>
      <c r="PR192" s="4"/>
      <c r="PS192" s="4"/>
      <c r="PT192" s="4"/>
      <c r="PU192" s="4"/>
      <c r="PV192" s="4"/>
      <c r="PW192" s="4"/>
      <c r="PX192" s="4"/>
      <c r="PY192" s="4"/>
      <c r="PZ192" s="4"/>
      <c r="QA192" s="4"/>
      <c r="QB192" s="4"/>
      <c r="QC192" s="4"/>
      <c r="QD192" s="4"/>
      <c r="QE192" s="4"/>
      <c r="QF192" s="4"/>
      <c r="QG192" s="4"/>
      <c r="QH192" s="4"/>
      <c r="QI192" s="4"/>
      <c r="QJ192" s="4"/>
      <c r="QK192" s="4"/>
      <c r="QL192" s="4"/>
      <c r="QM192" s="4"/>
    </row>
    <row r="193" spans="1:455" x14ac:dyDescent="0.35">
      <c r="A193" s="11" t="s">
        <v>209</v>
      </c>
      <c r="B193" t="s">
        <v>265</v>
      </c>
      <c r="C193" t="s">
        <v>254</v>
      </c>
      <c r="D193" s="56">
        <v>5</v>
      </c>
      <c r="E193" s="59">
        <f>WORKDAY(MAX(F191:F192),1,Holidays)</f>
        <v>46654</v>
      </c>
      <c r="F193" s="59">
        <f>IF(D193=0,E193,WORKDAY(Gantt4567[[#This Row],[Start]],Gantt4567[[#This Row],[Duration (days)]]-1,Holidays))</f>
        <v>46660</v>
      </c>
      <c r="G193" s="57" t="str">
        <f>H190</f>
        <v>9.2.1, 9.2.2</v>
      </c>
      <c r="H193" s="57" t="str">
        <f>A194</f>
        <v>9.2.4</v>
      </c>
      <c r="I193" s="4">
        <f>IF(Gantt4567[[#This Row],[Start]]="","-",NETWORKDAYS(Gantt4567[[#This Row],[Start]],Gantt4567[[#This Row],[End]],Holidays))</f>
        <v>5</v>
      </c>
      <c r="J193" s="69">
        <v>0</v>
      </c>
      <c r="K193" s="4">
        <f>IFERROR(Gantt4567[[#This Row],[End]]-Gantt4567[[#This Row],[Start]],0)</f>
        <v>6</v>
      </c>
      <c r="L193" s="77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6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</row>
    <row r="194" spans="1:455" x14ac:dyDescent="0.35">
      <c r="A194" s="11" t="s">
        <v>210</v>
      </c>
      <c r="B194" t="s">
        <v>266</v>
      </c>
      <c r="C194" t="s">
        <v>254</v>
      </c>
      <c r="D194" s="56">
        <v>5</v>
      </c>
      <c r="E194" s="59">
        <f>WORKDAY(F193,1,Holidays)</f>
        <v>46661</v>
      </c>
      <c r="F194" s="59">
        <f>IF(D194=0,E194,WORKDAY(Gantt4567[[#This Row],[Start]],Gantt4567[[#This Row],[Duration (days)]]-1,Holidays))</f>
        <v>46668</v>
      </c>
      <c r="G194" s="57" t="str">
        <f>H191</f>
        <v>9.2.3</v>
      </c>
      <c r="H194" s="57" t="str">
        <f>A200</f>
        <v>9.4</v>
      </c>
      <c r="I194" s="4">
        <f>IF(Gantt4567[[#This Row],[Start]]="","-",NETWORKDAYS(Gantt4567[[#This Row],[Start]],Gantt4567[[#This Row],[End]],Holidays))</f>
        <v>5</v>
      </c>
      <c r="J194" s="69">
        <v>0</v>
      </c>
      <c r="K194" s="4">
        <f>IFERROR(Gantt4567[[#This Row],[End]]-Gantt4567[[#This Row],[Start]],0)</f>
        <v>7</v>
      </c>
      <c r="L194" s="77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4"/>
      <c r="NU194" s="4"/>
      <c r="NV194" s="4"/>
      <c r="NW194" s="4"/>
      <c r="NX194" s="4"/>
      <c r="NY194" s="4"/>
      <c r="NZ194" s="4"/>
      <c r="OA194" s="4"/>
      <c r="OB194" s="4"/>
      <c r="OC194" s="4"/>
      <c r="OD194" s="4"/>
      <c r="OE194" s="4"/>
      <c r="OF194" s="4"/>
      <c r="OG194" s="4"/>
      <c r="OH194" s="4"/>
      <c r="OI194" s="4"/>
      <c r="OJ194" s="4"/>
      <c r="OK194" s="4"/>
      <c r="OL194" s="4"/>
      <c r="OM194" s="4"/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6"/>
      <c r="PP194" s="4"/>
      <c r="PQ194" s="4"/>
      <c r="PR194" s="4"/>
      <c r="PS194" s="4"/>
      <c r="PT194" s="4"/>
      <c r="PU194" s="4"/>
      <c r="PV194" s="4"/>
      <c r="PW194" s="4"/>
      <c r="PX194" s="4"/>
      <c r="PY194" s="4"/>
      <c r="PZ194" s="4"/>
      <c r="QA194" s="4"/>
      <c r="QB194" s="4"/>
      <c r="QC194" s="4"/>
      <c r="QD194" s="4"/>
      <c r="QE194" s="4"/>
      <c r="QF194" s="4"/>
      <c r="QG194" s="4"/>
      <c r="QH194" s="4"/>
      <c r="QI194" s="4"/>
      <c r="QJ194" s="4"/>
      <c r="QK194" s="4"/>
      <c r="QL194" s="4"/>
      <c r="QM194" s="4"/>
    </row>
    <row r="195" spans="1:455" x14ac:dyDescent="0.35">
      <c r="A195" s="9" t="s">
        <v>211</v>
      </c>
      <c r="B195" t="s">
        <v>267</v>
      </c>
      <c r="C195" t="s">
        <v>253</v>
      </c>
      <c r="D195" s="29">
        <f>SUM(D196:D199)</f>
        <v>20</v>
      </c>
      <c r="E195" s="59">
        <f>E184</f>
        <v>46619</v>
      </c>
      <c r="F195" s="59">
        <f>IF(D195=0,E195,WORKDAY(Gantt4567[[#This Row],[Start]],Gantt4567[[#This Row],[Duration (days)]]-1,Holidays))</f>
        <v>46646</v>
      </c>
      <c r="G195" s="57" t="str">
        <f>H183</f>
        <v>9.0 </v>
      </c>
      <c r="H195" s="57" t="str">
        <f>A196</f>
        <v>9.3.1</v>
      </c>
      <c r="I195" s="4">
        <f>IF(Gantt4567[[#This Row],[Start]]="","-",NETWORKDAYS(Gantt4567[[#This Row],[Start]],Gantt4567[[#This Row],[End]],Holidays))</f>
        <v>20</v>
      </c>
      <c r="K195" s="4">
        <f>IFERROR(Gantt4567[[#This Row],[End]]-Gantt4567[[#This Row],[Start]],0)</f>
        <v>27</v>
      </c>
      <c r="L195" s="77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4"/>
      <c r="NU195" s="4"/>
      <c r="NV195" s="4"/>
      <c r="NW195" s="4"/>
      <c r="NX195" s="4"/>
      <c r="NY195" s="4"/>
      <c r="NZ195" s="4"/>
      <c r="OA195" s="4"/>
      <c r="OB195" s="4"/>
      <c r="OC195" s="4"/>
      <c r="OD195" s="4"/>
      <c r="OE195" s="4"/>
      <c r="OF195" s="4"/>
      <c r="OG195" s="4"/>
      <c r="OH195" s="4"/>
      <c r="OI195" s="4"/>
      <c r="OJ195" s="4"/>
      <c r="OK195" s="4"/>
      <c r="OL195" s="4"/>
      <c r="OM195" s="4"/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6"/>
      <c r="PP195" s="4"/>
      <c r="PQ195" s="4"/>
      <c r="PR195" s="4"/>
      <c r="PS195" s="4"/>
      <c r="PT195" s="4"/>
      <c r="PU195" s="4"/>
      <c r="PV195" s="4"/>
      <c r="PW195" s="4"/>
      <c r="PX195" s="4"/>
      <c r="PY195" s="4"/>
      <c r="PZ195" s="4"/>
      <c r="QA195" s="4"/>
      <c r="QB195" s="4"/>
      <c r="QC195" s="4"/>
      <c r="QD195" s="4"/>
      <c r="QE195" s="4"/>
      <c r="QF195" s="4"/>
      <c r="QG195" s="4"/>
      <c r="QH195" s="4"/>
      <c r="QI195" s="4"/>
      <c r="QJ195" s="4"/>
      <c r="QK195" s="4"/>
      <c r="QL195" s="4"/>
      <c r="QM195" s="4"/>
    </row>
    <row r="196" spans="1:455" x14ac:dyDescent="0.35">
      <c r="A196" s="11" t="s">
        <v>212</v>
      </c>
      <c r="B196" t="s">
        <v>249</v>
      </c>
      <c r="C196" t="s">
        <v>254</v>
      </c>
      <c r="D196" s="56">
        <v>4</v>
      </c>
      <c r="E196" s="59">
        <f>E195</f>
        <v>46619</v>
      </c>
      <c r="F196" s="59">
        <f>IF(D196=0,E196,WORKDAY(Gantt4567[[#This Row],[Start]],Gantt4567[[#This Row],[Duration (days)]]-1,Holidays))</f>
        <v>46624</v>
      </c>
      <c r="G196" s="57" t="str">
        <f>A195</f>
        <v>9.3 </v>
      </c>
      <c r="H196" s="57" t="str">
        <f>A197</f>
        <v>9.3.2</v>
      </c>
      <c r="I196" s="4">
        <f>IF(Gantt4567[[#This Row],[Start]]="","-",NETWORKDAYS(Gantt4567[[#This Row],[Start]],Gantt4567[[#This Row],[End]],Holidays))</f>
        <v>4</v>
      </c>
      <c r="K196" s="4">
        <f>IFERROR(Gantt4567[[#This Row],[End]]-Gantt4567[[#This Row],[Start]],0)</f>
        <v>5</v>
      </c>
      <c r="L196" s="77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6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</row>
    <row r="197" spans="1:455" x14ac:dyDescent="0.35">
      <c r="A197" s="11" t="s">
        <v>213</v>
      </c>
      <c r="B197" t="s">
        <v>250</v>
      </c>
      <c r="C197" t="s">
        <v>254</v>
      </c>
      <c r="D197" s="56">
        <v>5</v>
      </c>
      <c r="E197" s="59">
        <f>WORKDAY(F196,1,Holidays)</f>
        <v>46625</v>
      </c>
      <c r="F197" s="59">
        <f>IF(D197=0,E197,WORKDAY(Gantt4567[[#This Row],[Start]],Gantt4567[[#This Row],[Duration (days)]]-1,Holidays))</f>
        <v>46631</v>
      </c>
      <c r="G197" s="57" t="str">
        <f>H195</f>
        <v>9.3.1</v>
      </c>
      <c r="H197" s="57" t="str">
        <f>A198</f>
        <v>9.3.3</v>
      </c>
      <c r="I197" s="4">
        <f>IF(Gantt4567[[#This Row],[Start]]="","-",NETWORKDAYS(Gantt4567[[#This Row],[Start]],Gantt4567[[#This Row],[End]],Holidays))</f>
        <v>5</v>
      </c>
      <c r="K197" s="4">
        <f>IFERROR(Gantt4567[[#This Row],[End]]-Gantt4567[[#This Row],[Start]],0)</f>
        <v>6</v>
      </c>
      <c r="L197" s="77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4"/>
      <c r="NU197" s="4"/>
      <c r="NV197" s="4"/>
      <c r="NW197" s="4"/>
      <c r="NX197" s="4"/>
      <c r="NY197" s="4"/>
      <c r="NZ197" s="4"/>
      <c r="OA197" s="4"/>
      <c r="OB197" s="4"/>
      <c r="OC197" s="4"/>
      <c r="OD197" s="4"/>
      <c r="OE197" s="4"/>
      <c r="OF197" s="4"/>
      <c r="OG197" s="4"/>
      <c r="OH197" s="4"/>
      <c r="OI197" s="4"/>
      <c r="OJ197" s="4"/>
      <c r="OK197" s="4"/>
      <c r="OL197" s="4"/>
      <c r="OM197" s="4"/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6"/>
      <c r="PP197" s="4"/>
      <c r="PQ197" s="4"/>
      <c r="PR197" s="4"/>
      <c r="PS197" s="4"/>
      <c r="PT197" s="4"/>
      <c r="PU197" s="4"/>
      <c r="PV197" s="4"/>
      <c r="PW197" s="4"/>
      <c r="PX197" s="4"/>
      <c r="PY197" s="4"/>
      <c r="PZ197" s="4"/>
      <c r="QA197" s="4"/>
      <c r="QB197" s="4"/>
      <c r="QC197" s="4"/>
      <c r="QD197" s="4"/>
      <c r="QE197" s="4"/>
      <c r="QF197" s="4"/>
      <c r="QG197" s="4"/>
      <c r="QH197" s="4"/>
      <c r="QI197" s="4"/>
      <c r="QJ197" s="4"/>
      <c r="QK197" s="4"/>
      <c r="QL197" s="4"/>
      <c r="QM197" s="4"/>
    </row>
    <row r="198" spans="1:455" x14ac:dyDescent="0.35">
      <c r="A198" s="17" t="s">
        <v>214</v>
      </c>
      <c r="B198" t="s">
        <v>268</v>
      </c>
      <c r="C198" t="s">
        <v>254</v>
      </c>
      <c r="D198" s="56">
        <v>9</v>
      </c>
      <c r="E198" s="59">
        <f>WORKDAY(F197,1,Holidays)</f>
        <v>46632</v>
      </c>
      <c r="F198" s="59">
        <f>IF(D198=0,E198,WORKDAY(Gantt4567[[#This Row],[Start]],Gantt4567[[#This Row],[Duration (days)]]-1,Holidays))</f>
        <v>46644</v>
      </c>
      <c r="G198" s="57" t="str">
        <f>H196</f>
        <v>9.3.2</v>
      </c>
      <c r="H198" s="57" t="str">
        <f>A199</f>
        <v>9.3.4</v>
      </c>
      <c r="I198" s="4">
        <f>IF(Gantt4567[[#This Row],[Start]]="","-",NETWORKDAYS(Gantt4567[[#This Row],[Start]],Gantt4567[[#This Row],[End]],Holidays))</f>
        <v>9</v>
      </c>
      <c r="K198" s="4">
        <f>IFERROR(Gantt4567[[#This Row],[End]]-Gantt4567[[#This Row],[Start]],0)</f>
        <v>12</v>
      </c>
      <c r="L198" s="77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6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4"/>
      <c r="QL198" s="4"/>
      <c r="QM198" s="4"/>
    </row>
    <row r="199" spans="1:455" x14ac:dyDescent="0.35">
      <c r="A199" s="17" t="s">
        <v>215</v>
      </c>
      <c r="B199" t="s">
        <v>269</v>
      </c>
      <c r="C199" t="s">
        <v>254</v>
      </c>
      <c r="D199" s="56">
        <v>2</v>
      </c>
      <c r="E199" s="59">
        <f>WORKDAY(F198,1,Holidays)</f>
        <v>46645</v>
      </c>
      <c r="F199" s="59">
        <f>IF(D199=0,E199,WORKDAY(Gantt4567[[#This Row],[Start]],Gantt4567[[#This Row],[Duration (days)]]-1,Holidays))</f>
        <v>46646</v>
      </c>
      <c r="G199" s="57" t="str">
        <f>H197</f>
        <v>9.3.3</v>
      </c>
      <c r="H199" s="57" t="str">
        <f>A200</f>
        <v>9.4</v>
      </c>
      <c r="I199" s="4">
        <f>IF(Gantt4567[[#This Row],[Start]]="","-",NETWORKDAYS(Gantt4567[[#This Row],[Start]],Gantt4567[[#This Row],[End]],Holidays))</f>
        <v>2</v>
      </c>
      <c r="K199" s="4">
        <f>IFERROR(Gantt4567[[#This Row],[End]]-Gantt4567[[#This Row],[Start]],0)</f>
        <v>1</v>
      </c>
      <c r="L199" s="77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6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</row>
    <row r="200" spans="1:455" x14ac:dyDescent="0.35">
      <c r="A200" s="40" t="s">
        <v>216</v>
      </c>
      <c r="B200" s="38" t="s">
        <v>416</v>
      </c>
      <c r="C200" s="38" t="s">
        <v>257</v>
      </c>
      <c r="D200" s="56">
        <v>0</v>
      </c>
      <c r="E200" s="59">
        <f>MAX(F194,F199)</f>
        <v>46668</v>
      </c>
      <c r="F200" s="59">
        <f>IF(D200=0,E200,WORKDAY(Gantt4567[[#This Row],[Start]],Gantt4567[[#This Row],[Duration (days)]]-1,Holidays))</f>
        <v>46668</v>
      </c>
      <c r="G200" s="57" t="str">
        <f>_xlfn.TEXTJOIN(", ",TRUE,A194,H198)</f>
        <v>9.2.4, 9.3.4</v>
      </c>
      <c r="H200" s="57" t="s">
        <v>25</v>
      </c>
      <c r="I200" s="4">
        <v>0</v>
      </c>
      <c r="K200" s="4">
        <f>IFERROR(Gantt4567[[#This Row],[End]]-Gantt4567[[#This Row],[Start]],0)</f>
        <v>0</v>
      </c>
      <c r="L200" s="77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6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4"/>
      <c r="QL200" s="4"/>
      <c r="QM200" s="4"/>
    </row>
    <row r="202" spans="1:455" x14ac:dyDescent="0.35">
      <c r="B202" s="3" t="s">
        <v>428</v>
      </c>
      <c r="D202">
        <f>D8+D21+D43+D60+D82+D118+D145+D175+D184</f>
        <v>418</v>
      </c>
      <c r="I202" s="4">
        <f>I8+I21+I43+I60+I82+I118+I145+I175+I184</f>
        <v>418</v>
      </c>
    </row>
    <row r="203" spans="1:455" x14ac:dyDescent="0.35">
      <c r="B203" s="3" t="s">
        <v>427</v>
      </c>
      <c r="D203" s="54">
        <f>PK5</f>
        <v>86</v>
      </c>
    </row>
    <row r="204" spans="1:455" x14ac:dyDescent="0.35">
      <c r="B204" s="3" t="s">
        <v>420</v>
      </c>
      <c r="D204" s="2">
        <f>F184</f>
        <v>46668</v>
      </c>
    </row>
  </sheetData>
  <mergeCells count="94">
    <mergeCell ref="A2:B3"/>
    <mergeCell ref="BD5:BH5"/>
    <mergeCell ref="L3:L5"/>
    <mergeCell ref="M5:Q5"/>
    <mergeCell ref="R5:V5"/>
    <mergeCell ref="W5:AA5"/>
    <mergeCell ref="AB5:AF5"/>
    <mergeCell ref="AG5:AK5"/>
    <mergeCell ref="AL5:AP5"/>
    <mergeCell ref="AQ5:AT5"/>
    <mergeCell ref="AU5:AX5"/>
    <mergeCell ref="AY5:BC5"/>
    <mergeCell ref="DK5:DO5"/>
    <mergeCell ref="BI5:BM5"/>
    <mergeCell ref="BN5:BR5"/>
    <mergeCell ref="BS5:BW5"/>
    <mergeCell ref="BX5:CB5"/>
    <mergeCell ref="CC5:CG5"/>
    <mergeCell ref="CH5:CL5"/>
    <mergeCell ref="CM5:CP5"/>
    <mergeCell ref="CQ5:CU5"/>
    <mergeCell ref="CV5:CZ5"/>
    <mergeCell ref="DA5:DE5"/>
    <mergeCell ref="DF5:DJ5"/>
    <mergeCell ref="FS5:FV5"/>
    <mergeCell ref="DP5:DT5"/>
    <mergeCell ref="DU5:DY5"/>
    <mergeCell ref="DZ5:ED5"/>
    <mergeCell ref="EE5:EI5"/>
    <mergeCell ref="EJ5:EN5"/>
    <mergeCell ref="EO5:ES5"/>
    <mergeCell ref="ET5:EX5"/>
    <mergeCell ref="EY5:FC5"/>
    <mergeCell ref="FD5:FH5"/>
    <mergeCell ref="FI5:FM5"/>
    <mergeCell ref="FN5:FR5"/>
    <mergeCell ref="HY5:IA5"/>
    <mergeCell ref="FW5:GA5"/>
    <mergeCell ref="GB5:GF5"/>
    <mergeCell ref="GG5:GK5"/>
    <mergeCell ref="GL5:GP5"/>
    <mergeCell ref="GQ5:GU5"/>
    <mergeCell ref="GV5:GZ5"/>
    <mergeCell ref="HA5:HE5"/>
    <mergeCell ref="HF5:HJ5"/>
    <mergeCell ref="HK5:HO5"/>
    <mergeCell ref="HP5:HT5"/>
    <mergeCell ref="HU5:HX5"/>
    <mergeCell ref="KD5:KG5"/>
    <mergeCell ref="IB5:IF5"/>
    <mergeCell ref="IG5:IK5"/>
    <mergeCell ref="IL5:IP5"/>
    <mergeCell ref="IQ5:IT5"/>
    <mergeCell ref="IU5:IY5"/>
    <mergeCell ref="IZ5:JD5"/>
    <mergeCell ref="JE5:JI5"/>
    <mergeCell ref="JJ5:JN5"/>
    <mergeCell ref="JO5:JS5"/>
    <mergeCell ref="JT5:JX5"/>
    <mergeCell ref="JY5:KC5"/>
    <mergeCell ref="NM5:NQ5"/>
    <mergeCell ref="MJ5:MM5"/>
    <mergeCell ref="KH5:KK5"/>
    <mergeCell ref="KL5:KP5"/>
    <mergeCell ref="KQ5:KU5"/>
    <mergeCell ref="KV5:KZ5"/>
    <mergeCell ref="LA5:LE5"/>
    <mergeCell ref="LF5:LJ5"/>
    <mergeCell ref="LK5:LO5"/>
    <mergeCell ref="LP5:LT5"/>
    <mergeCell ref="LU5:LY5"/>
    <mergeCell ref="LZ5:MD5"/>
    <mergeCell ref="ME5:MI5"/>
    <mergeCell ref="MN5:MR5"/>
    <mergeCell ref="MS5:MW5"/>
    <mergeCell ref="MX5:NB5"/>
    <mergeCell ref="NC5:NG5"/>
    <mergeCell ref="NH5:NL5"/>
    <mergeCell ref="PY5:QC5"/>
    <mergeCell ref="QD5:QH5"/>
    <mergeCell ref="QI5:QM5"/>
    <mergeCell ref="L6:L200"/>
    <mergeCell ref="OV5:OZ5"/>
    <mergeCell ref="PA5:PE5"/>
    <mergeCell ref="PF5:PJ5"/>
    <mergeCell ref="PK5:PN5"/>
    <mergeCell ref="PP5:PS5"/>
    <mergeCell ref="PT5:PX5"/>
    <mergeCell ref="NR5:NV5"/>
    <mergeCell ref="NW5:OA5"/>
    <mergeCell ref="OB5:OF5"/>
    <mergeCell ref="OG5:OK5"/>
    <mergeCell ref="OL5:OP5"/>
    <mergeCell ref="OQ5:OU5"/>
  </mergeCells>
  <conditionalFormatting sqref="M3:QM4 M5:PP5 PT5 PY5 QD5 QI5">
    <cfRule type="expression" dxfId="15" priority="2">
      <formula>MATCH(M$3,Holidays,0)</formula>
    </cfRule>
  </conditionalFormatting>
  <conditionalFormatting sqref="M4:QM4 M5:PP5 PT5 PY5 QD5 QI5 M8:QM9 M10:AG10 AJ10:QM10 M11:QM200">
    <cfRule type="expression" dxfId="14" priority="3">
      <formula>NETWORKDAYS(M$3,M$3,)=0</formula>
    </cfRule>
  </conditionalFormatting>
  <conditionalFormatting sqref="M8:QM9 M10:AG10 AJ10:QM10 M11:QM200">
    <cfRule type="expression" dxfId="13" priority="4" stopIfTrue="1">
      <formula>NOT(AND(M$3&gt;=$E8, M$3&lt;=$F8))</formula>
    </cfRule>
    <cfRule type="expression" dxfId="12" priority="5">
      <formula>task_colour="M"</formula>
    </cfRule>
    <cfRule type="expression" dxfId="11" priority="7">
      <formula>task_colour="O"</formula>
    </cfRule>
    <cfRule type="expression" dxfId="10" priority="8">
      <formula>task_colour="R"</formula>
    </cfRule>
    <cfRule type="expression" dxfId="9" priority="9">
      <formula>task_colour="G"</formula>
    </cfRule>
    <cfRule type="expression" dxfId="8" priority="10">
      <formula>TRUE</formula>
    </cfRule>
  </conditionalFormatting>
  <conditionalFormatting sqref="AI10">
    <cfRule type="expression" dxfId="7" priority="28">
      <formula>NETWORKDAYS(AH$3,AH$3,)=0</formula>
    </cfRule>
    <cfRule type="expression" dxfId="6" priority="35" stopIfTrue="1">
      <formula>NOT(AND(AH$3&gt;=$E10, AH$3&lt;=$F10))</formula>
    </cfRule>
    <cfRule type="expression" dxfId="5" priority="36">
      <formula>task_colour="M"</formula>
    </cfRule>
    <cfRule type="expression" dxfId="4" priority="37">
      <formula>task_colour="O"</formula>
    </cfRule>
    <cfRule type="expression" dxfId="3" priority="38">
      <formula>task_colour="R"</formula>
    </cfRule>
    <cfRule type="expression" dxfId="2" priority="39">
      <formula>task_colour="G"</formula>
    </cfRule>
    <cfRule type="expression" dxfId="1" priority="40">
      <formula>TRUE</formula>
    </cfRule>
  </conditionalFormatting>
  <conditionalFormatting sqref="BC3:QM4 BC5:PP5 PT5 PY5 QD5 QI5">
    <cfRule type="timePeriod" dxfId="0" priority="6" timePeriod="lastWeek">
      <formula>AND(TODAY()-ROUNDDOWN(BC3,0)&gt;=(WEEKDAY(TODAY())),TODAY()-ROUNDDOWN(BC3,0)&lt;(WEEKDAY(TODAY())+7))</formula>
    </cfRule>
  </conditionalFormatting>
  <dataValidations disablePrompts="1" count="2">
    <dataValidation type="list" allowBlank="1" showInputMessage="1" showErrorMessage="1" sqref="C7:C200" xr:uid="{B840CF0B-AD13-4F7E-856F-F3487352088C}">
      <formula1>"O,P,R,G"</formula1>
    </dataValidation>
    <dataValidation type="list" allowBlank="1" showInputMessage="1" showErrorMessage="1" sqref="G1" xr:uid="{DE049F70-C5D5-412E-BCD7-81E0F4B3F5FF}">
      <formula1>"Weekly,Monthly,Quarterly,Yearly"</formula1>
    </dataValidation>
  </dataValidations>
  <pageMargins left="0.23622047244094491" right="0.23622047244094491" top="0.47244094488188981" bottom="0.47244094488188981" header="0.31496062992125984" footer="0.31496062992125984"/>
  <pageSetup paperSize="9" scale="80" fitToWidth="0" pageOrder="overThenDown" orientation="landscape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6</xdr:col>
                    <xdr:colOff>139700</xdr:colOff>
                    <xdr:row>2</xdr:row>
                    <xdr:rowOff>279400</xdr:rowOff>
                  </from>
                  <to>
                    <xdr:col>6</xdr:col>
                    <xdr:colOff>1371600</xdr:colOff>
                    <xdr:row>2</xdr:row>
                    <xdr:rowOff>520700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D0EBC14-EC95-4703-83C1-EAC4CD3A50A2}">
            <xm:f>NOT(ISERROR(SEARCH(0,J8)))</xm:f>
            <xm:f>0</xm:f>
            <x14:dxf>
              <fill>
                <patternFill>
                  <bgColor rgb="FFFF0000"/>
                </patternFill>
              </fill>
            </x14:dxf>
          </x14:cfRule>
          <xm:sqref>J8:J200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8A18-30B3-4DDA-BC3E-6A09D08A2D96}">
  <sheetPr codeName="Sheet4">
    <tabColor rgb="FF92D050"/>
  </sheetPr>
  <dimension ref="A1:G23"/>
  <sheetViews>
    <sheetView zoomScale="75" workbookViewId="0">
      <selection activeCell="G9" sqref="G9"/>
    </sheetView>
  </sheetViews>
  <sheetFormatPr defaultColWidth="8.58203125" defaultRowHeight="15.5" x14ac:dyDescent="0.35"/>
  <cols>
    <col min="1" max="1" width="13.83203125" customWidth="1"/>
    <col min="2" max="2" width="22.58203125" bestFit="1" customWidth="1"/>
    <col min="4" max="4" width="13.83203125" bestFit="1" customWidth="1"/>
    <col min="7" max="7" width="10.08203125" bestFit="1" customWidth="1"/>
  </cols>
  <sheetData>
    <row r="1" spans="1:7" x14ac:dyDescent="0.35">
      <c r="A1" t="s">
        <v>0</v>
      </c>
      <c r="B1" t="s">
        <v>1</v>
      </c>
    </row>
    <row r="2" spans="1:7" x14ac:dyDescent="0.35">
      <c r="A2" s="2">
        <v>46023</v>
      </c>
      <c r="B2" t="s">
        <v>2</v>
      </c>
      <c r="G2" s="31"/>
    </row>
    <row r="3" spans="1:7" x14ac:dyDescent="0.35">
      <c r="A3" s="2">
        <v>46048</v>
      </c>
      <c r="B3" t="s">
        <v>3</v>
      </c>
      <c r="G3" s="31"/>
    </row>
    <row r="4" spans="1:7" x14ac:dyDescent="0.35">
      <c r="A4" s="2">
        <v>46115</v>
      </c>
      <c r="B4" t="s">
        <v>4</v>
      </c>
      <c r="G4" s="31"/>
    </row>
    <row r="5" spans="1:7" x14ac:dyDescent="0.35">
      <c r="A5" s="2">
        <v>46116</v>
      </c>
      <c r="B5" t="s">
        <v>5</v>
      </c>
      <c r="G5" s="31"/>
    </row>
    <row r="6" spans="1:7" x14ac:dyDescent="0.35">
      <c r="A6" s="2">
        <v>46117</v>
      </c>
      <c r="B6" t="s">
        <v>6</v>
      </c>
      <c r="G6" s="31"/>
    </row>
    <row r="7" spans="1:7" x14ac:dyDescent="0.35">
      <c r="A7" s="2">
        <v>46118</v>
      </c>
      <c r="B7" t="s">
        <v>7</v>
      </c>
      <c r="G7" s="31"/>
    </row>
    <row r="8" spans="1:7" x14ac:dyDescent="0.35">
      <c r="A8" s="2">
        <v>46137</v>
      </c>
      <c r="B8" t="s">
        <v>8</v>
      </c>
      <c r="D8" t="s">
        <v>251</v>
      </c>
      <c r="E8" t="b">
        <v>0</v>
      </c>
      <c r="F8" s="31"/>
    </row>
    <row r="9" spans="1:7" x14ac:dyDescent="0.35">
      <c r="A9" s="2">
        <v>46181</v>
      </c>
      <c r="B9" t="s">
        <v>9</v>
      </c>
      <c r="D9">
        <f>COUNT(Holidays)</f>
        <v>21</v>
      </c>
      <c r="G9" s="31"/>
    </row>
    <row r="10" spans="1:7" x14ac:dyDescent="0.35">
      <c r="A10" s="2">
        <v>46300</v>
      </c>
      <c r="B10" t="s">
        <v>10</v>
      </c>
      <c r="G10" s="31"/>
    </row>
    <row r="11" spans="1:7" x14ac:dyDescent="0.35">
      <c r="A11" s="2">
        <v>46381</v>
      </c>
      <c r="B11" t="s">
        <v>11</v>
      </c>
      <c r="G11" s="31"/>
    </row>
    <row r="12" spans="1:7" x14ac:dyDescent="0.35">
      <c r="A12" s="2">
        <v>46382</v>
      </c>
      <c r="B12" t="s">
        <v>12</v>
      </c>
      <c r="G12" s="31"/>
    </row>
    <row r="13" spans="1:7" x14ac:dyDescent="0.35">
      <c r="A13" s="2">
        <v>46384</v>
      </c>
      <c r="B13" t="s">
        <v>13</v>
      </c>
      <c r="G13" s="31"/>
    </row>
    <row r="14" spans="1:7" x14ac:dyDescent="0.35">
      <c r="A14" s="2">
        <v>46388</v>
      </c>
      <c r="B14" t="s">
        <v>2</v>
      </c>
      <c r="G14" s="31"/>
    </row>
    <row r="15" spans="1:7" x14ac:dyDescent="0.35">
      <c r="A15" s="2">
        <v>46413</v>
      </c>
      <c r="B15" t="s">
        <v>3</v>
      </c>
      <c r="G15" s="31"/>
    </row>
    <row r="16" spans="1:7" x14ac:dyDescent="0.35">
      <c r="A16" s="2">
        <v>46472</v>
      </c>
      <c r="B16" t="s">
        <v>4</v>
      </c>
      <c r="G16" s="31"/>
    </row>
    <row r="17" spans="1:7" x14ac:dyDescent="0.35">
      <c r="A17" s="2">
        <v>46473</v>
      </c>
      <c r="B17" t="s">
        <v>5</v>
      </c>
      <c r="G17" s="31"/>
    </row>
    <row r="18" spans="1:7" x14ac:dyDescent="0.35">
      <c r="A18" s="2">
        <v>46474</v>
      </c>
      <c r="B18" t="s">
        <v>6</v>
      </c>
      <c r="G18" s="31"/>
    </row>
    <row r="19" spans="1:7" x14ac:dyDescent="0.35">
      <c r="A19" s="2">
        <v>46475</v>
      </c>
      <c r="B19" t="s">
        <v>7</v>
      </c>
      <c r="G19" s="31"/>
    </row>
    <row r="20" spans="1:7" x14ac:dyDescent="0.35">
      <c r="A20" s="2">
        <v>46502</v>
      </c>
      <c r="B20" t="s">
        <v>8</v>
      </c>
      <c r="G20" s="31"/>
    </row>
    <row r="21" spans="1:7" x14ac:dyDescent="0.35">
      <c r="A21" s="2">
        <v>46552</v>
      </c>
      <c r="B21" t="s">
        <v>9</v>
      </c>
      <c r="G21" s="31"/>
    </row>
    <row r="22" spans="1:7" x14ac:dyDescent="0.35">
      <c r="A22" s="2">
        <v>46664</v>
      </c>
      <c r="B22" t="s">
        <v>10</v>
      </c>
      <c r="G22" s="31"/>
    </row>
    <row r="23" spans="1:7" x14ac:dyDescent="0.35">
      <c r="A23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9CECF0CC28C44CA983EE37630EB37F" ma:contentTypeVersion="3" ma:contentTypeDescription="Create a new document." ma:contentTypeScope="" ma:versionID="1dbd34dd9f78eecd16431bf5ce9adb49">
  <xsd:schema xmlns:xsd="http://www.w3.org/2001/XMLSchema" xmlns:xs="http://www.w3.org/2001/XMLSchema" xmlns:p="http://schemas.microsoft.com/office/2006/metadata/properties" xmlns:ns2="16e6dc46-83c2-4243-9149-0d38b17d0af8" targetNamespace="http://schemas.microsoft.com/office/2006/metadata/properties" ma:root="true" ma:fieldsID="9c7948175e98c48d1804501164d0b225" ns2:_="">
    <xsd:import namespace="16e6dc46-83c2-4243-9149-0d38b17d0a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6dc46-83c2-4243-9149-0d38b17d0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930C7-731E-4FCE-B3D8-E02C32B60B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56E0F5-192D-496F-BD08-422EB62AF6B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E411035-C624-4607-B5B7-6D1F8AA17E9F}">
  <ds:schemaRefs>
    <ds:schemaRef ds:uri="http://www.w3.org/XML/1998/namespace"/>
    <ds:schemaRef ds:uri="http://schemas.microsoft.com/office/2006/documentManagement/types"/>
    <ds:schemaRef ds:uri="http://purl.org/dc/terms/"/>
    <ds:schemaRef ds:uri="16e6dc46-83c2-4243-9149-0d38b17d0af8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E449B2C-7525-4ADE-A6BC-3F04F04EFC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e6dc46-83c2-4243-9149-0d38b17d0a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Final</vt:lpstr>
      <vt:lpstr>NSW_Holidays</vt:lpstr>
      <vt:lpstr>Final!Display</vt:lpstr>
      <vt:lpstr>Final!Display_p</vt:lpstr>
      <vt:lpstr>Final!h</vt:lpstr>
      <vt:lpstr>h</vt:lpstr>
      <vt:lpstr>Holiday2</vt:lpstr>
      <vt:lpstr>Final!Holidays</vt:lpstr>
      <vt:lpstr>Holidays</vt:lpstr>
      <vt:lpstr>Final!Print_Area</vt:lpstr>
      <vt:lpstr>Final!Print_Titles</vt:lpstr>
      <vt:lpstr>Final!Project_Start</vt:lpstr>
      <vt:lpstr>show_weekend</vt:lpstr>
      <vt:lpstr>Final!task_colour</vt:lpstr>
      <vt:lpstr>Final!W</vt:lpstr>
    </vt:vector>
  </TitlesOfParts>
  <Manager/>
  <Company>©2022 ApmT Pty Ltd &amp; Dr. Neil Pearson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- Simple Gantt Chart</dc:title>
  <dc:subject>Project Management</dc:subject>
  <dc:creator>Dr. Neil Pearson</dc:creator>
  <cp:keywords/>
  <dc:description>©2022 ApmT Pty Ltd &amp; Dr. Neil Pearson</dc:description>
  <cp:lastModifiedBy>Ida Andersen</cp:lastModifiedBy>
  <cp:revision/>
  <cp:lastPrinted>2025-10-27T12:04:59Z</cp:lastPrinted>
  <dcterms:created xsi:type="dcterms:W3CDTF">2012-08-16T22:49:49Z</dcterms:created>
  <dcterms:modified xsi:type="dcterms:W3CDTF">2025-11-01T13:23:52Z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0x010100039CECF0CC28C44CA983EE37630EB37F</vt:lpwstr>
  </property>
</Properties>
</file>